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italflus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Kapitalflussrechnung</t>
        </is>
      </c>
    </row>
    <row r="2">
      <c r="A2" t="inlineStr">
        <is>
          <t>Geschäftsjahr 2025 | Werte in TEUR</t>
        </is>
      </c>
    </row>
    <row r="4">
      <c r="A4" s="2" t="inlineStr">
        <is>
          <t>Position</t>
        </is>
      </c>
      <c r="B4" s="2" t="inlineStr">
        <is>
          <t>2023</t>
        </is>
      </c>
      <c r="C4" s="2" t="inlineStr">
        <is>
          <t>2024</t>
        </is>
      </c>
      <c r="D4" s="2" t="inlineStr">
        <is>
          <t>2025</t>
        </is>
      </c>
    </row>
    <row r="5">
      <c r="A5" s="3" t="inlineStr">
        <is>
          <t>Cashflow aus betrieblicher Tätigkeit</t>
        </is>
      </c>
      <c r="B5" s="3" t="inlineStr"/>
      <c r="C5" s="3" t="inlineStr"/>
      <c r="D5" s="3" t="inlineStr"/>
    </row>
    <row r="6">
      <c r="A6" t="inlineStr">
        <is>
          <t>Jahresüberschuss</t>
        </is>
      </c>
      <c r="B6" t="n">
        <v>6440</v>
      </c>
      <c r="C6" t="n">
        <v>7315</v>
      </c>
      <c r="D6" t="n">
        <v>17262</v>
      </c>
    </row>
    <row r="7">
      <c r="A7" t="inlineStr">
        <is>
          <t>+ Abschreibungen auf Anlagevermögen</t>
        </is>
      </c>
      <c r="B7" t="n">
        <v>7200</v>
      </c>
      <c r="C7" t="n">
        <v>7800</v>
      </c>
      <c r="D7" t="n">
        <v>8460</v>
      </c>
    </row>
    <row r="8">
      <c r="A8" t="inlineStr">
        <is>
          <t>+/- Veränderung der Rückstellungen</t>
        </is>
      </c>
      <c r="B8" t="n">
        <v>1800</v>
      </c>
      <c r="C8" t="n">
        <v>2600</v>
      </c>
      <c r="D8" t="n">
        <v>5000</v>
      </c>
    </row>
    <row r="9">
      <c r="A9" t="inlineStr">
        <is>
          <t>+/- Veränderung der Vorräte</t>
        </is>
      </c>
      <c r="B9" t="n">
        <v>-2500</v>
      </c>
      <c r="C9" t="n">
        <v>-3500</v>
      </c>
      <c r="D9" t="n">
        <v>-4700</v>
      </c>
    </row>
    <row r="10">
      <c r="A10" t="inlineStr">
        <is>
          <t>+/- Veränderung der Forderungen</t>
        </is>
      </c>
      <c r="B10" t="n">
        <v>-3200</v>
      </c>
      <c r="C10" t="n">
        <v>-3800</v>
      </c>
      <c r="D10" t="n">
        <v>-6700</v>
      </c>
    </row>
    <row r="11">
      <c r="A11" t="inlineStr">
        <is>
          <t>+/- Veränderung der Verbindlichkeiten aus LuL</t>
        </is>
      </c>
      <c r="B11" t="n">
        <v>2100</v>
      </c>
      <c r="C11" t="n">
        <v>3700</v>
      </c>
      <c r="D11" t="n">
        <v>5300</v>
      </c>
    </row>
    <row r="12">
      <c r="A12" t="inlineStr">
        <is>
          <t>+/- Sonstige zahlungsunwirksame Aufwendungen/Erträge</t>
        </is>
      </c>
      <c r="B12" t="n">
        <v>450</v>
      </c>
      <c r="C12" t="n">
        <v>520</v>
      </c>
      <c r="D12" t="n">
        <v>680</v>
      </c>
    </row>
    <row r="13">
      <c r="A13" s="3">
        <f> Cashflow aus betrieblicher Tätigkeit</f>
        <v/>
      </c>
      <c r="B13" s="3" t="n">
        <v>12290</v>
      </c>
      <c r="C13" s="3" t="n">
        <v>14635</v>
      </c>
      <c r="D13" s="3" t="n">
        <v>25302</v>
      </c>
    </row>
    <row r="14">
      <c r="A14" t="inlineStr"/>
      <c r="B14" t="inlineStr"/>
      <c r="C14" t="inlineStr"/>
      <c r="D14" t="inlineStr"/>
    </row>
    <row r="15">
      <c r="A15" s="3" t="inlineStr">
        <is>
          <t>Cashflow aus Investitionstätigkeit</t>
        </is>
      </c>
      <c r="B15" s="3" t="inlineStr"/>
      <c r="C15" s="3" t="inlineStr"/>
      <c r="D15" s="3" t="inlineStr"/>
    </row>
    <row r="16">
      <c r="A16" t="inlineStr">
        <is>
          <t>- Auszahlungen für Investitionen in Sachanlagen</t>
        </is>
      </c>
      <c r="B16" t="n">
        <v>-8500</v>
      </c>
      <c r="C16" t="n">
        <v>-9200</v>
      </c>
      <c r="D16" t="n">
        <v>-13500</v>
      </c>
    </row>
    <row r="17">
      <c r="A17" t="inlineStr">
        <is>
          <t>- Auszahlungen für Investitionen in immaterielle Vermögenswerte</t>
        </is>
      </c>
      <c r="B17" t="n">
        <v>-1800</v>
      </c>
      <c r="C17" t="n">
        <v>-2200</v>
      </c>
      <c r="D17" t="n">
        <v>-3100</v>
      </c>
    </row>
    <row r="18">
      <c r="A18" t="inlineStr">
        <is>
          <t>- Auszahlungen für Investitionen in Finanzanlagen</t>
        </is>
      </c>
      <c r="B18" t="n">
        <v>-500</v>
      </c>
      <c r="C18" t="n">
        <v>-700</v>
      </c>
      <c r="D18" t="n">
        <v>-2300</v>
      </c>
    </row>
    <row r="19">
      <c r="A19" t="inlineStr">
        <is>
          <t>+ Einzahlungen aus Anlagenabgängen</t>
        </is>
      </c>
      <c r="B19" t="n">
        <v>320</v>
      </c>
      <c r="C19" t="n">
        <v>450</v>
      </c>
      <c r="D19" t="n">
        <v>580</v>
      </c>
    </row>
    <row r="20">
      <c r="A20" s="3">
        <f> Cashflow aus Investitionstätigkeit</f>
        <v/>
      </c>
      <c r="B20" s="3" t="n">
        <v>-10480</v>
      </c>
      <c r="C20" s="3" t="n">
        <v>-11650</v>
      </c>
      <c r="D20" s="3" t="n">
        <v>-18320</v>
      </c>
    </row>
    <row r="21">
      <c r="A21" t="inlineStr"/>
      <c r="B21" t="inlineStr"/>
      <c r="C21" t="inlineStr"/>
      <c r="D21" t="inlineStr"/>
    </row>
    <row r="22">
      <c r="A22" s="3" t="inlineStr">
        <is>
          <t>Cashflow aus Finanzierungstätigkeit</t>
        </is>
      </c>
      <c r="B22" s="3" t="inlineStr"/>
      <c r="C22" s="3" t="inlineStr"/>
      <c r="D22" s="3" t="inlineStr"/>
    </row>
    <row r="23">
      <c r="A23" t="inlineStr">
        <is>
          <t>+ Einzahlungen aus Kreditaufnahmen</t>
        </is>
      </c>
      <c r="B23" t="n">
        <v>5000</v>
      </c>
      <c r="C23" t="n">
        <v>8000</v>
      </c>
      <c r="D23" t="n">
        <v>5000</v>
      </c>
    </row>
    <row r="24">
      <c r="A24" t="inlineStr">
        <is>
          <t>- Auszahlungen aus Kredittilgungen</t>
        </is>
      </c>
      <c r="B24" t="n">
        <v>-3500</v>
      </c>
      <c r="C24" t="n">
        <v>-4500</v>
      </c>
      <c r="D24" t="n">
        <v>-5500</v>
      </c>
    </row>
    <row r="25">
      <c r="A25" t="inlineStr">
        <is>
          <t>- Dividendenzahlungen</t>
        </is>
      </c>
      <c r="B25" t="n">
        <v>-2000</v>
      </c>
      <c r="C25" t="n">
        <v>-2500</v>
      </c>
      <c r="D25" t="n">
        <v>-3000</v>
      </c>
    </row>
    <row r="26">
      <c r="A26" s="3">
        <f> Cashflow aus Finanzierungstätigkeit</f>
        <v/>
      </c>
      <c r="B26" s="3" t="n">
        <v>-500</v>
      </c>
      <c r="C26" s="3" t="n">
        <v>1000</v>
      </c>
      <c r="D26" s="3" t="n">
        <v>-3500</v>
      </c>
    </row>
    <row r="27">
      <c r="A27" t="inlineStr"/>
      <c r="B27" t="inlineStr"/>
      <c r="C27" t="inlineStr"/>
      <c r="D27" t="inlineStr"/>
    </row>
    <row r="28">
      <c r="A28" t="inlineStr">
        <is>
          <t>Zahlungswirksame Veränderung des Finanzmittelbestands</t>
        </is>
      </c>
      <c r="B28" t="n">
        <v>1310</v>
      </c>
      <c r="C28" t="n">
        <v>3985</v>
      </c>
      <c r="D28" t="n">
        <v>3482</v>
      </c>
    </row>
    <row r="29">
      <c r="A29" t="inlineStr">
        <is>
          <t>+ Finanzmittelbestand am Anfang der Periode</t>
        </is>
      </c>
      <c r="B29" t="n">
        <v>17190</v>
      </c>
      <c r="C29" t="n">
        <v>18500</v>
      </c>
      <c r="D29" t="n">
        <v>22000</v>
      </c>
    </row>
    <row r="30">
      <c r="A30" s="3">
        <f> Finanzmittelbestand am Ende der Periode</f>
        <v/>
      </c>
      <c r="B30" s="3" t="n">
        <v>18500</v>
      </c>
      <c r="C30" s="3" t="n">
        <v>22485</v>
      </c>
      <c r="D30" s="3" t="n">
        <v>25482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2026-01-26T16:07:23Z</dcterms:created>
  <dcterms:modified xmlns:dcterms="http://purl.org/dc/terms/" xmlns:xsi="http://www.w3.org/2001/XMLSchema-instance" xsi:type="dcterms:W3CDTF">2026-01-26T16:07:23Z</dcterms:modified>
</cp:coreProperties>
</file>