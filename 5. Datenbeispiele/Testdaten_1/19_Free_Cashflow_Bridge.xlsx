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F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Free Cash Flow Bridge</t>
        </is>
      </c>
    </row>
    <row r="2">
      <c r="A2" t="inlineStr">
        <is>
          <t>FY 2025 | Werte in Mio. EUR</t>
        </is>
      </c>
    </row>
    <row r="4">
      <c r="A4" s="2" t="inlineStr">
        <is>
          <t>Position</t>
        </is>
      </c>
      <c r="B4" s="2" t="inlineStr">
        <is>
          <t>Wert</t>
        </is>
      </c>
      <c r="C4" s="2" t="inlineStr">
        <is>
          <t>Kumuliert</t>
        </is>
      </c>
      <c r="D4" s="2" t="inlineStr">
        <is>
          <t>Typ</t>
        </is>
      </c>
    </row>
    <row r="5">
      <c r="A5" t="inlineStr">
        <is>
          <t>EBITDA</t>
        </is>
      </c>
      <c r="B5" t="n">
        <v>35.8</v>
      </c>
      <c r="C5" t="n">
        <v>35.8</v>
      </c>
      <c r="D5" t="inlineStr">
        <is>
          <t>Start</t>
        </is>
      </c>
    </row>
    <row r="6">
      <c r="A6" t="inlineStr">
        <is>
          <t>- Working Capital Veränderung</t>
        </is>
      </c>
      <c r="B6" t="n">
        <v>-6.1</v>
      </c>
      <c r="C6" t="n">
        <v>29.7</v>
      </c>
      <c r="D6" t="inlineStr">
        <is>
          <t>Negative</t>
        </is>
      </c>
    </row>
    <row r="7">
      <c r="A7" t="inlineStr">
        <is>
          <t>- Steuerzahlungen</t>
        </is>
      </c>
      <c r="B7" t="n">
        <v>-7.4</v>
      </c>
      <c r="C7" t="n">
        <v>22.3</v>
      </c>
      <c r="D7" t="inlineStr">
        <is>
          <t>Negative</t>
        </is>
      </c>
    </row>
    <row r="8">
      <c r="A8" t="inlineStr">
        <is>
          <t>- Sonstige operative Anpassungen</t>
        </is>
      </c>
      <c r="B8" t="n">
        <v>0.7</v>
      </c>
      <c r="C8" t="n">
        <v>23</v>
      </c>
      <c r="D8" t="inlineStr">
        <is>
          <t>Positive</t>
        </is>
      </c>
    </row>
    <row r="9">
      <c r="A9" s="3">
        <f> Operativer Cashflow</f>
        <v/>
      </c>
      <c r="B9" s="3" t="n">
        <v>23</v>
      </c>
      <c r="C9" s="3" t="n">
        <v>23</v>
      </c>
      <c r="D9" s="3" t="inlineStr">
        <is>
          <t>Subtotal</t>
        </is>
      </c>
    </row>
    <row r="10">
      <c r="A10" t="inlineStr">
        <is>
          <t>- Investitionen Sachanlagen</t>
        </is>
      </c>
      <c r="B10" t="n">
        <v>-13.5</v>
      </c>
      <c r="C10" t="n">
        <v>9.5</v>
      </c>
      <c r="D10" t="inlineStr">
        <is>
          <t>Negative</t>
        </is>
      </c>
    </row>
    <row r="11">
      <c r="A11" t="inlineStr">
        <is>
          <t>- Investitionen immat. Vermögenswerte</t>
        </is>
      </c>
      <c r="B11" t="n">
        <v>-3.1</v>
      </c>
      <c r="C11" t="n">
        <v>6.4</v>
      </c>
      <c r="D11" t="inlineStr">
        <is>
          <t>Negative</t>
        </is>
      </c>
    </row>
    <row r="12">
      <c r="A12" t="inlineStr">
        <is>
          <t>+ Desinvestitionen</t>
        </is>
      </c>
      <c r="B12" t="n">
        <v>0.6</v>
      </c>
      <c r="C12" t="n">
        <v>7</v>
      </c>
      <c r="D12" t="inlineStr">
        <is>
          <t>Positive</t>
        </is>
      </c>
    </row>
    <row r="13">
      <c r="A13" s="3">
        <f> Free Cash Flow (vor Finanzierung)</f>
        <v/>
      </c>
      <c r="B13" s="3" t="n">
        <v>7</v>
      </c>
      <c r="C13" s="3" t="n">
        <v>7</v>
      </c>
      <c r="D13" s="3" t="inlineStr">
        <is>
          <t>Subtotal</t>
        </is>
      </c>
    </row>
    <row r="14">
      <c r="A14" t="inlineStr">
        <is>
          <t>- Zinszahlungen netto</t>
        </is>
      </c>
      <c r="B14" t="n">
        <v>-2.7</v>
      </c>
      <c r="C14" t="n">
        <v>4.3</v>
      </c>
      <c r="D14" t="inlineStr">
        <is>
          <t>Negative</t>
        </is>
      </c>
    </row>
    <row r="15">
      <c r="A15" s="3">
        <f> Free Cash Flow (nach Zinsen)</f>
        <v/>
      </c>
      <c r="B15" s="3" t="n">
        <v>4.3</v>
      </c>
      <c r="C15" s="3" t="n">
        <v>4.3</v>
      </c>
      <c r="D15" s="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2026-01-26T16:07:59Z</dcterms:created>
  <dcterms:modified xmlns:dcterms="http://purl.org/dc/terms/" xmlns:xsi="http://www.w3.org/2001/XMLSchema-instance" xsi:type="dcterms:W3CDTF">2026-01-26T16:07:59Z</dcterms:modified>
</cp:coreProperties>
</file>