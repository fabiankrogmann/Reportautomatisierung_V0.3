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B nach Produkte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3">
    <fill>
      <patternFill/>
    </fill>
    <fill>
      <patternFill patternType="gray125"/>
    </fill>
    <fill>
      <patternFill patternType="solid">
        <fgColor rgb="00FCE4D6"/>
        <bgColor rgb="00FCE4D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2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Deckungsbeitragsrechnung nach Produktgruppen</t>
        </is>
      </c>
    </row>
    <row r="2">
      <c r="A2" t="inlineStr">
        <is>
          <t>FY 2025 | Werte in EUR</t>
        </is>
      </c>
    </row>
    <row r="4">
      <c r="A4" s="2" t="inlineStr">
        <is>
          <t>Position</t>
        </is>
      </c>
      <c r="B4" s="2" t="inlineStr">
        <is>
          <t>Produkt A</t>
        </is>
      </c>
      <c r="C4" s="2" t="inlineStr">
        <is>
          <t>Produkt B</t>
        </is>
      </c>
      <c r="D4" s="2" t="inlineStr">
        <is>
          <t>Produkt C</t>
        </is>
      </c>
      <c r="E4" s="2" t="inlineStr">
        <is>
          <t>Produkt D</t>
        </is>
      </c>
      <c r="F4" s="2" t="inlineStr">
        <is>
          <t>Gesamt</t>
        </is>
      </c>
    </row>
    <row r="5">
      <c r="A5" t="inlineStr">
        <is>
          <t>Umsatzerlöse</t>
        </is>
      </c>
      <c r="B5" t="n">
        <v>45000000</v>
      </c>
      <c r="C5" t="n">
        <v>32000000</v>
      </c>
      <c r="D5" t="n">
        <v>28000000</v>
      </c>
      <c r="E5" t="n">
        <v>18000000</v>
      </c>
      <c r="F5" t="n">
        <v>123000000</v>
      </c>
    </row>
    <row r="6">
      <c r="A6" t="inlineStr">
        <is>
          <t>- Variable Herstellkosten</t>
        </is>
      </c>
      <c r="B6" t="n">
        <v>-22500000</v>
      </c>
      <c r="C6" t="n">
        <v>-17600000</v>
      </c>
      <c r="D6" t="n">
        <v>-14000000</v>
      </c>
      <c r="E6" t="n">
        <v>-9900000</v>
      </c>
      <c r="F6" t="n">
        <v>-64000000</v>
      </c>
    </row>
    <row r="7">
      <c r="A7" s="3">
        <f> Deckungsbeitrag I</f>
        <v/>
      </c>
      <c r="B7" s="3" t="n">
        <v>22500000</v>
      </c>
      <c r="C7" s="3" t="n">
        <v>14400000</v>
      </c>
      <c r="D7" s="3" t="n">
        <v>14000000</v>
      </c>
      <c r="E7" s="3" t="n">
        <v>8100000</v>
      </c>
      <c r="F7" s="3" t="n">
        <v>59000000</v>
      </c>
    </row>
    <row r="8">
      <c r="A8" s="3" t="inlineStr">
        <is>
          <t xml:space="preserve">  DB I Marge</t>
        </is>
      </c>
      <c r="B8" s="3" t="inlineStr">
        <is>
          <t>50.0%</t>
        </is>
      </c>
      <c r="C8" s="3" t="inlineStr">
        <is>
          <t>45.0%</t>
        </is>
      </c>
      <c r="D8" s="3" t="inlineStr">
        <is>
          <t>50.0%</t>
        </is>
      </c>
      <c r="E8" s="3" t="inlineStr">
        <is>
          <t>45.0%</t>
        </is>
      </c>
      <c r="F8" s="3" t="inlineStr">
        <is>
          <t>48.0%</t>
        </is>
      </c>
    </row>
    <row r="9">
      <c r="A9" t="inlineStr">
        <is>
          <t>- Produktfixkosten</t>
        </is>
      </c>
      <c r="B9" t="n">
        <v>-5400000</v>
      </c>
      <c r="C9" t="n">
        <v>-4160000</v>
      </c>
      <c r="D9" t="n">
        <v>-3640000</v>
      </c>
      <c r="E9" t="n">
        <v>-2520000</v>
      </c>
      <c r="F9" t="n">
        <v>-15720000</v>
      </c>
    </row>
    <row r="10">
      <c r="A10" s="3">
        <f> Deckungsbeitrag II</f>
        <v/>
      </c>
      <c r="B10" s="3" t="n">
        <v>17100000</v>
      </c>
      <c r="C10" s="3" t="n">
        <v>10240000</v>
      </c>
      <c r="D10" s="3" t="n">
        <v>10360000</v>
      </c>
      <c r="E10" s="3" t="n">
        <v>5580000</v>
      </c>
      <c r="F10" s="3" t="n">
        <v>43280000</v>
      </c>
    </row>
    <row r="11">
      <c r="A11" s="3" t="inlineStr">
        <is>
          <t xml:space="preserve">  DB II Marge</t>
        </is>
      </c>
      <c r="B11" s="3" t="inlineStr">
        <is>
          <t>38.0%</t>
        </is>
      </c>
      <c r="C11" s="3" t="inlineStr">
        <is>
          <t>32.0%</t>
        </is>
      </c>
      <c r="D11" s="3" t="inlineStr">
        <is>
          <t>37.0%</t>
        </is>
      </c>
      <c r="E11" s="3" t="inlineStr">
        <is>
          <t>31.0%</t>
        </is>
      </c>
      <c r="F11" s="3" t="inlineStr">
        <is>
          <t>35.2%</t>
        </is>
      </c>
    </row>
    <row r="12">
      <c r="A12" t="inlineStr">
        <is>
          <t>- Produktgruppenkosten</t>
        </is>
      </c>
      <c r="B12" t="n">
        <v>-3150000</v>
      </c>
      <c r="C12" t="n">
        <v>-2240000</v>
      </c>
      <c r="D12" t="n">
        <v>-1960000</v>
      </c>
      <c r="E12" t="n">
        <v>-1260000</v>
      </c>
      <c r="F12" t="n">
        <v>-8610000</v>
      </c>
    </row>
    <row r="13">
      <c r="A13" s="3">
        <f> Deckungsbeitrag III</f>
        <v/>
      </c>
      <c r="B13" s="3" t="n">
        <v>13950000</v>
      </c>
      <c r="C13" s="3" t="n">
        <v>8000000</v>
      </c>
      <c r="D13" s="3" t="n">
        <v>8400000</v>
      </c>
      <c r="E13" s="3" t="n">
        <v>4320000</v>
      </c>
      <c r="F13" s="3" t="n">
        <v>34670000</v>
      </c>
    </row>
    <row r="14">
      <c r="A14" s="3" t="inlineStr">
        <is>
          <t xml:space="preserve">  DB III Marge</t>
        </is>
      </c>
      <c r="B14" s="3" t="inlineStr">
        <is>
          <t>31.0%</t>
        </is>
      </c>
      <c r="C14" s="3" t="inlineStr">
        <is>
          <t>25.0%</t>
        </is>
      </c>
      <c r="D14" s="3" t="inlineStr">
        <is>
          <t>30.0%</t>
        </is>
      </c>
      <c r="E14" s="3" t="inlineStr">
        <is>
          <t>24.0%</t>
        </is>
      </c>
      <c r="F14" s="3" t="inlineStr">
        <is>
          <t>28.2%</t>
        </is>
      </c>
    </row>
    <row r="15">
      <c r="A15" t="inlineStr">
        <is>
          <t>- Anteilige Strukturkosten</t>
        </is>
      </c>
      <c r="B15" t="n">
        <v>-4050000</v>
      </c>
      <c r="C15" t="n">
        <v>-2880000</v>
      </c>
      <c r="D15" t="n">
        <v>-2520000</v>
      </c>
      <c r="E15" t="n">
        <v>-1620000</v>
      </c>
      <c r="F15" t="n">
        <v>-11070000</v>
      </c>
    </row>
    <row r="16">
      <c r="A16" s="3">
        <f> Ergebnisbeitrag</f>
        <v/>
      </c>
      <c r="B16" s="3" t="n">
        <v>9900000</v>
      </c>
      <c r="C16" s="3" t="n">
        <v>5120000</v>
      </c>
      <c r="D16" s="3" t="n">
        <v>5880000</v>
      </c>
      <c r="E16" s="3" t="n">
        <v>2700000</v>
      </c>
      <c r="F16" s="3" t="n">
        <v>23600000</v>
      </c>
    </row>
    <row r="17">
      <c r="A17" t="inlineStr">
        <is>
          <t xml:space="preserve">  Ergebnismarge</t>
        </is>
      </c>
      <c r="B17" t="inlineStr">
        <is>
          <t>22.0%</t>
        </is>
      </c>
      <c r="C17" t="inlineStr">
        <is>
          <t>16.0%</t>
        </is>
      </c>
      <c r="D17" t="inlineStr">
        <is>
          <t>21.0%</t>
        </is>
      </c>
      <c r="E17" t="inlineStr">
        <is>
          <t>15.0%</t>
        </is>
      </c>
      <c r="F17" t="inlineStr">
        <is>
          <t>19.2%</t>
        </is>
      </c>
    </row>
    <row r="18">
      <c r="A18" t="inlineStr"/>
      <c r="B18" t="inlineStr"/>
      <c r="C18" t="inlineStr"/>
      <c r="D18" t="inlineStr"/>
      <c r="E18" t="inlineStr"/>
      <c r="F18" t="inlineStr"/>
    </row>
    <row r="19">
      <c r="A19" t="inlineStr">
        <is>
          <t>Absatzmenge (Stück)</t>
        </is>
      </c>
      <c r="B19" t="n">
        <v>180000</v>
      </c>
      <c r="C19" t="n">
        <v>128000</v>
      </c>
      <c r="D19" t="n">
        <v>112000</v>
      </c>
      <c r="E19" t="n">
        <v>72000</v>
      </c>
      <c r="F19" t="n">
        <v>492000</v>
      </c>
    </row>
    <row r="20">
      <c r="A20" t="inlineStr">
        <is>
          <t>Durchschnittspreis (EUR)</t>
        </is>
      </c>
      <c r="B20" t="n">
        <v>250</v>
      </c>
      <c r="C20" t="n">
        <v>250</v>
      </c>
      <c r="D20" t="n">
        <v>250</v>
      </c>
      <c r="E20" t="n">
        <v>250</v>
      </c>
      <c r="F20" t="n">
        <v>250</v>
      </c>
    </row>
    <row r="21">
      <c r="A21" t="inlineStr">
        <is>
          <t>Variable Stückkosten (EUR)</t>
        </is>
      </c>
      <c r="B21" t="n">
        <v>125</v>
      </c>
      <c r="C21" t="n">
        <v>137.5</v>
      </c>
      <c r="D21" t="n">
        <v>125</v>
      </c>
      <c r="E21" t="n">
        <v>137.5</v>
      </c>
      <c r="F21" t="n">
        <v>130.08</v>
      </c>
    </row>
    <row r="22">
      <c r="A22" t="inlineStr">
        <is>
          <t>DB I pro Stück (EUR)</t>
        </is>
      </c>
      <c r="B22" t="n">
        <v>125</v>
      </c>
      <c r="C22" t="n">
        <v>112.5</v>
      </c>
      <c r="D22" t="n">
        <v>125</v>
      </c>
      <c r="E22" t="n">
        <v>112.5</v>
      </c>
      <c r="F22" t="n">
        <v>119.92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2026-01-26T16:09:00Z</dcterms:created>
  <dcterms:modified xmlns:dcterms="http://purl.org/dc/terms/" xmlns:xsi="http://www.w3.org/2001/XMLSchema-instance" xsi:type="dcterms:W3CDTF">2026-01-26T16:09:00Z</dcterms:modified>
</cp:coreProperties>
</file>