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 OpEx 4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Departmental Operating Expenses - Financial Services Ltd</t>
        </is>
      </c>
    </row>
    <row r="2">
      <c r="A2" t="inlineStr">
        <is>
          <t>FY 2025 | GBP thousands | 4 Scenario Comparison</t>
        </is>
      </c>
    </row>
    <row r="4">
      <c r="A4" s="2" t="inlineStr">
        <is>
          <t>Department</t>
        </is>
      </c>
      <c r="B4" s="2" t="inlineStr">
        <is>
          <t>Budget</t>
        </is>
      </c>
      <c r="C4" s="2" t="inlineStr">
        <is>
          <t>FC1</t>
        </is>
      </c>
      <c r="D4" s="2" t="inlineStr">
        <is>
          <t>FC2</t>
        </is>
      </c>
      <c r="E4" s="2" t="inlineStr">
        <is>
          <t>Target</t>
        </is>
      </c>
      <c r="F4" s="2" t="inlineStr">
        <is>
          <t>FC2 vs BUD</t>
        </is>
      </c>
      <c r="G4" s="2" t="inlineStr">
        <is>
          <t>FC2 vs Target</t>
        </is>
      </c>
    </row>
    <row r="5">
      <c r="A5" t="inlineStr">
        <is>
          <t>Front Office</t>
        </is>
      </c>
      <c r="B5" t="n">
        <v>8500</v>
      </c>
      <c r="C5" t="n">
        <v>8245</v>
      </c>
      <c r="D5" t="n">
        <v>8373</v>
      </c>
      <c r="E5" t="n">
        <v>8075</v>
      </c>
      <c r="F5">
        <f>D5-B5</f>
        <v/>
      </c>
      <c r="G5">
        <f>D5-E5</f>
        <v/>
      </c>
    </row>
    <row r="6">
      <c r="A6" t="inlineStr">
        <is>
          <t>Trading</t>
        </is>
      </c>
      <c r="B6" t="n">
        <v>4200</v>
      </c>
      <c r="C6" t="n">
        <v>4074</v>
      </c>
      <c r="D6" t="n">
        <v>4137</v>
      </c>
      <c r="E6" t="n">
        <v>3990</v>
      </c>
      <c r="F6">
        <f>D6-B6</f>
        <v/>
      </c>
      <c r="G6">
        <f>D6-E6</f>
        <v/>
      </c>
    </row>
    <row r="7">
      <c r="A7" t="inlineStr">
        <is>
          <t>Research</t>
        </is>
      </c>
      <c r="B7" t="n">
        <v>2800</v>
      </c>
      <c r="C7" t="n">
        <v>2716</v>
      </c>
      <c r="D7" t="n">
        <v>2758</v>
      </c>
      <c r="E7" t="n">
        <v>2660</v>
      </c>
      <c r="F7">
        <f>D7-B7</f>
        <v/>
      </c>
      <c r="G7">
        <f>D7-E7</f>
        <v/>
      </c>
    </row>
    <row r="8">
      <c r="A8" t="inlineStr">
        <is>
          <t>Client Services</t>
        </is>
      </c>
      <c r="B8" t="n">
        <v>1500</v>
      </c>
      <c r="C8" t="n">
        <v>1455</v>
      </c>
      <c r="D8" t="n">
        <v>1478</v>
      </c>
      <c r="E8" t="n">
        <v>1425</v>
      </c>
      <c r="F8">
        <f>D8-B8</f>
        <v/>
      </c>
      <c r="G8">
        <f>D8-E8</f>
        <v/>
      </c>
    </row>
    <row r="9">
      <c r="A9" t="inlineStr">
        <is>
          <t>Middle Office</t>
        </is>
      </c>
      <c r="B9" t="n">
        <v>4500</v>
      </c>
      <c r="C9" t="n">
        <v>4365</v>
      </c>
      <c r="D9" t="n">
        <v>4433</v>
      </c>
      <c r="E9" t="n">
        <v>4275</v>
      </c>
      <c r="F9">
        <f>D9-B9</f>
        <v/>
      </c>
      <c r="G9">
        <f>D9-E9</f>
        <v/>
      </c>
    </row>
    <row r="10">
      <c r="A10" t="inlineStr">
        <is>
          <t>Risk Management</t>
        </is>
      </c>
      <c r="B10" t="n">
        <v>2200</v>
      </c>
      <c r="C10" t="n">
        <v>2134</v>
      </c>
      <c r="D10" t="n">
        <v>2167</v>
      </c>
      <c r="E10" t="n">
        <v>2090</v>
      </c>
      <c r="F10">
        <f>D10-B10</f>
        <v/>
      </c>
      <c r="G10">
        <f>D10-E10</f>
        <v/>
      </c>
    </row>
    <row r="11">
      <c r="A11" t="inlineStr">
        <is>
          <t>Compliance</t>
        </is>
      </c>
      <c r="B11" t="n">
        <v>1500</v>
      </c>
      <c r="C11" t="n">
        <v>1455</v>
      </c>
      <c r="D11" t="n">
        <v>1478</v>
      </c>
      <c r="E11" t="n">
        <v>1425</v>
      </c>
      <c r="F11">
        <f>D11-B11</f>
        <v/>
      </c>
      <c r="G11">
        <f>D11-E11</f>
        <v/>
      </c>
    </row>
    <row r="12">
      <c r="A12" t="inlineStr">
        <is>
          <t>Operations</t>
        </is>
      </c>
      <c r="B12" t="n">
        <v>800</v>
      </c>
      <c r="C12" t="n">
        <v>776</v>
      </c>
      <c r="D12" t="n">
        <v>788</v>
      </c>
      <c r="E12" t="n">
        <v>760</v>
      </c>
      <c r="F12">
        <f>D12-B12</f>
        <v/>
      </c>
      <c r="G12">
        <f>D12-E12</f>
        <v/>
      </c>
    </row>
    <row r="13">
      <c r="A13" t="inlineStr">
        <is>
          <t>Back Office</t>
        </is>
      </c>
      <c r="B13" t="n">
        <v>3800</v>
      </c>
      <c r="C13" t="n">
        <v>3686</v>
      </c>
      <c r="D13" t="n">
        <v>3743</v>
      </c>
      <c r="E13" t="n">
        <v>3610</v>
      </c>
      <c r="F13">
        <f>D13-B13</f>
        <v/>
      </c>
      <c r="G13">
        <f>D13-E13</f>
        <v/>
      </c>
    </row>
    <row r="14">
      <c r="A14" t="inlineStr">
        <is>
          <t>Settlement</t>
        </is>
      </c>
      <c r="B14" t="n">
        <v>1800</v>
      </c>
      <c r="C14" t="n">
        <v>1746</v>
      </c>
      <c r="D14" t="n">
        <v>1773</v>
      </c>
      <c r="E14" t="n">
        <v>1710</v>
      </c>
      <c r="F14">
        <f>D14-B14</f>
        <v/>
      </c>
      <c r="G14">
        <f>D14-E14</f>
        <v/>
      </c>
    </row>
    <row r="15">
      <c r="A15" t="inlineStr">
        <is>
          <t>Accounting</t>
        </is>
      </c>
      <c r="B15" t="n">
        <v>1200</v>
      </c>
      <c r="C15" t="n">
        <v>1164</v>
      </c>
      <c r="D15" t="n">
        <v>1182</v>
      </c>
      <c r="E15" t="n">
        <v>1140</v>
      </c>
      <c r="F15">
        <f>D15-B15</f>
        <v/>
      </c>
      <c r="G15">
        <f>D15-E15</f>
        <v/>
      </c>
    </row>
    <row r="16">
      <c r="A16" t="inlineStr">
        <is>
          <t>Reporting</t>
        </is>
      </c>
      <c r="B16" t="n">
        <v>800</v>
      </c>
      <c r="C16" t="n">
        <v>776</v>
      </c>
      <c r="D16" t="n">
        <v>788</v>
      </c>
      <c r="E16" t="n">
        <v>760</v>
      </c>
      <c r="F16">
        <f>D16-B16</f>
        <v/>
      </c>
      <c r="G16">
        <f>D16-E16</f>
        <v/>
      </c>
    </row>
    <row r="17">
      <c r="A17" t="inlineStr">
        <is>
          <t>Support Functions</t>
        </is>
      </c>
      <c r="B17" t="n">
        <v>5200</v>
      </c>
      <c r="C17" t="n">
        <v>5044</v>
      </c>
      <c r="D17" t="n">
        <v>5122</v>
      </c>
      <c r="E17" t="n">
        <v>4940</v>
      </c>
      <c r="F17">
        <f>D17-B17</f>
        <v/>
      </c>
      <c r="G17">
        <f>D17-E17</f>
        <v/>
      </c>
    </row>
    <row r="18">
      <c r="A18" t="inlineStr">
        <is>
          <t>IT</t>
        </is>
      </c>
      <c r="B18" t="n">
        <v>2800</v>
      </c>
      <c r="C18" t="n">
        <v>2716</v>
      </c>
      <c r="D18" t="n">
        <v>2758</v>
      </c>
      <c r="E18" t="n">
        <v>2660</v>
      </c>
      <c r="F18">
        <f>D18-B18</f>
        <v/>
      </c>
      <c r="G18">
        <f>D18-E18</f>
        <v/>
      </c>
    </row>
    <row r="19">
      <c r="A19" t="inlineStr">
        <is>
          <t>HR</t>
        </is>
      </c>
      <c r="B19" t="n">
        <v>1200</v>
      </c>
      <c r="C19" t="n">
        <v>1164</v>
      </c>
      <c r="D19" t="n">
        <v>1182</v>
      </c>
      <c r="E19" t="n">
        <v>1140</v>
      </c>
      <c r="F19">
        <f>D19-B19</f>
        <v/>
      </c>
      <c r="G19">
        <f>D19-E19</f>
        <v/>
      </c>
    </row>
    <row r="20">
      <c r="A20" t="inlineStr">
        <is>
          <t>Legal</t>
        </is>
      </c>
      <c r="B20" t="n">
        <v>800</v>
      </c>
      <c r="C20" t="n">
        <v>776</v>
      </c>
      <c r="D20" t="n">
        <v>788</v>
      </c>
      <c r="E20" t="n">
        <v>760</v>
      </c>
      <c r="F20">
        <f>D20-B20</f>
        <v/>
      </c>
      <c r="G20">
        <f>D20-E20</f>
        <v/>
      </c>
    </row>
    <row r="21">
      <c r="A21" t="inlineStr">
        <is>
          <t>Facilities</t>
        </is>
      </c>
      <c r="B21" t="n">
        <v>400</v>
      </c>
      <c r="C21" t="n">
        <v>388</v>
      </c>
      <c r="D21" t="n">
        <v>394</v>
      </c>
      <c r="E21" t="n">
        <v>380</v>
      </c>
      <c r="F21">
        <f>D21-B21</f>
        <v/>
      </c>
      <c r="G21">
        <f>D21-E21</f>
        <v/>
      </c>
    </row>
    <row r="22">
      <c r="A22" t="inlineStr">
        <is>
          <t>Total</t>
        </is>
      </c>
      <c r="B22">
        <f>B5+B9+B13+B17</f>
        <v/>
      </c>
      <c r="C22">
        <f>C5+C9+C13+C17</f>
        <v/>
      </c>
      <c r="D22">
        <f>D5+D9+D13+D17</f>
        <v/>
      </c>
      <c r="E22">
        <f>E5+E9+E13+E17</f>
        <v/>
      </c>
      <c r="F22">
        <f>D22-B22</f>
        <v/>
      </c>
      <c r="G22">
        <f>D22-E22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