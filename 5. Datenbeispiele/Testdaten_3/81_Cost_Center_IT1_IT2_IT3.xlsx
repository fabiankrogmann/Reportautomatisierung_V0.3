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Center It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Kostenstellenplanung - Automotive Zulieferer GmbH</t>
        </is>
      </c>
    </row>
    <row r="2">
      <c r="A2" t="inlineStr">
        <is>
          <t>FY 2025 | TEUR | Budget Iterations</t>
        </is>
      </c>
    </row>
    <row r="4">
      <c r="A4" s="2" t="inlineStr">
        <is>
          <t>Kostenstelle</t>
        </is>
      </c>
      <c r="B4" s="2" t="inlineStr">
        <is>
          <t>BUD Initial</t>
        </is>
      </c>
      <c r="C4" s="2" t="inlineStr">
        <is>
          <t>BUD IT1</t>
        </is>
      </c>
      <c r="D4" s="2" t="inlineStr">
        <is>
          <t>BUD IT2</t>
        </is>
      </c>
      <c r="E4" s="2" t="inlineStr">
        <is>
          <t>BUD Final</t>
        </is>
      </c>
      <c r="F4" s="2" t="inlineStr">
        <is>
          <t>Δ Final vs Init</t>
        </is>
      </c>
      <c r="G4" s="2" t="inlineStr">
        <is>
          <t>Δ %</t>
        </is>
      </c>
    </row>
    <row r="5">
      <c r="A5" t="inlineStr">
        <is>
          <t>Produktion</t>
        </is>
      </c>
      <c r="B5" t="n">
        <v>12500</v>
      </c>
      <c r="C5" t="n">
        <v>12750</v>
      </c>
      <c r="D5" t="n">
        <v>12625</v>
      </c>
      <c r="E5" t="n">
        <v>12688</v>
      </c>
      <c r="F5">
        <f>E5-B5</f>
        <v/>
      </c>
      <c r="G5">
        <f>IF(B5&lt;&gt;0,F5/B5,0)</f>
        <v/>
      </c>
    </row>
    <row r="6">
      <c r="A6" t="inlineStr">
        <is>
          <t>Qualitätssicherung</t>
        </is>
      </c>
      <c r="B6" t="n">
        <v>2800</v>
      </c>
      <c r="C6" t="n">
        <v>2856</v>
      </c>
      <c r="D6" t="n">
        <v>2828</v>
      </c>
      <c r="E6" t="n">
        <v>2842</v>
      </c>
      <c r="F6">
        <f>E6-B6</f>
        <v/>
      </c>
      <c r="G6">
        <f>IF(B6&lt;&gt;0,F6/B6,0)</f>
        <v/>
      </c>
    </row>
    <row r="7">
      <c r="A7" t="inlineStr">
        <is>
          <t>Logistik</t>
        </is>
      </c>
      <c r="B7" t="n">
        <v>3500</v>
      </c>
      <c r="C7" t="n">
        <v>3570</v>
      </c>
      <c r="D7" t="n">
        <v>3535</v>
      </c>
      <c r="E7" t="n">
        <v>3553</v>
      </c>
      <c r="F7">
        <f>E7-B7</f>
        <v/>
      </c>
      <c r="G7">
        <f>IF(B7&lt;&gt;0,F7/B7,0)</f>
        <v/>
      </c>
    </row>
    <row r="8">
      <c r="A8" t="inlineStr">
        <is>
          <t>Forschung &amp; Entwicklung</t>
        </is>
      </c>
      <c r="B8" t="n">
        <v>4200</v>
      </c>
      <c r="C8" t="n">
        <v>4284</v>
      </c>
      <c r="D8" t="n">
        <v>4242</v>
      </c>
      <c r="E8" t="n">
        <v>4263</v>
      </c>
      <c r="F8">
        <f>E8-B8</f>
        <v/>
      </c>
      <c r="G8">
        <f>IF(B8&lt;&gt;0,F8/B8,0)</f>
        <v/>
      </c>
    </row>
    <row r="9">
      <c r="A9" t="inlineStr">
        <is>
          <t>Vertrieb</t>
        </is>
      </c>
      <c r="B9" t="n">
        <v>2100</v>
      </c>
      <c r="C9" t="n">
        <v>2142</v>
      </c>
      <c r="D9" t="n">
        <v>2121</v>
      </c>
      <c r="E9" t="n">
        <v>2132</v>
      </c>
      <c r="F9">
        <f>E9-B9</f>
        <v/>
      </c>
      <c r="G9">
        <f>IF(B9&lt;&gt;0,F9/B9,0)</f>
        <v/>
      </c>
    </row>
    <row r="10">
      <c r="A10" t="inlineStr">
        <is>
          <t>Marketing</t>
        </is>
      </c>
      <c r="B10" t="n">
        <v>1500</v>
      </c>
      <c r="C10" t="n">
        <v>1530</v>
      </c>
      <c r="D10" t="n">
        <v>1515</v>
      </c>
      <c r="E10" t="n">
        <v>1523</v>
      </c>
      <c r="F10">
        <f>E10-B10</f>
        <v/>
      </c>
      <c r="G10">
        <f>IF(B10&lt;&gt;0,F10/B10,0)</f>
        <v/>
      </c>
    </row>
    <row r="11">
      <c r="A11" t="inlineStr">
        <is>
          <t>IT</t>
        </is>
      </c>
      <c r="B11" t="n">
        <v>1800</v>
      </c>
      <c r="C11" t="n">
        <v>1836</v>
      </c>
      <c r="D11" t="n">
        <v>1818</v>
      </c>
      <c r="E11" t="n">
        <v>1827</v>
      </c>
      <c r="F11">
        <f>E11-B11</f>
        <v/>
      </c>
      <c r="G11">
        <f>IF(B11&lt;&gt;0,F11/B11,0)</f>
        <v/>
      </c>
    </row>
    <row r="12">
      <c r="A12" t="inlineStr">
        <is>
          <t>Personal/HR</t>
        </is>
      </c>
      <c r="B12" t="n">
        <v>950</v>
      </c>
      <c r="C12" t="n">
        <v>969</v>
      </c>
      <c r="D12" t="n">
        <v>960</v>
      </c>
      <c r="E12" t="n">
        <v>964</v>
      </c>
      <c r="F12">
        <f>E12-B12</f>
        <v/>
      </c>
      <c r="G12">
        <f>IF(B12&lt;&gt;0,F12/B12,0)</f>
        <v/>
      </c>
    </row>
    <row r="13">
      <c r="A13" t="inlineStr">
        <is>
          <t>Finanzen</t>
        </is>
      </c>
      <c r="B13" t="n">
        <v>850</v>
      </c>
      <c r="C13" t="n">
        <v>867</v>
      </c>
      <c r="D13" t="n">
        <v>859</v>
      </c>
      <c r="E13" t="n">
        <v>863</v>
      </c>
      <c r="F13">
        <f>E13-B13</f>
        <v/>
      </c>
      <c r="G13">
        <f>IF(B13&lt;&gt;0,F13/B13,0)</f>
        <v/>
      </c>
    </row>
    <row r="14">
      <c r="A14" t="inlineStr">
        <is>
          <t>Geschäftsleitung</t>
        </is>
      </c>
      <c r="B14" t="n">
        <v>1200</v>
      </c>
      <c r="C14" t="n">
        <v>1224</v>
      </c>
      <c r="D14" t="n">
        <v>1212</v>
      </c>
      <c r="E14" t="n">
        <v>1218</v>
      </c>
      <c r="F14">
        <f>E14-B14</f>
        <v/>
      </c>
      <c r="G14">
        <f>IF(B14&lt;&gt;0,F14/B14,0)</f>
        <v/>
      </c>
    </row>
    <row r="15">
      <c r="A15" t="inlineStr">
        <is>
          <t>Facility Management</t>
        </is>
      </c>
      <c r="B15" t="n">
        <v>600</v>
      </c>
      <c r="C15" t="n">
        <v>612</v>
      </c>
      <c r="D15" t="n">
        <v>606</v>
      </c>
      <c r="E15" t="n">
        <v>609</v>
      </c>
      <c r="F15">
        <f>E15-B15</f>
        <v/>
      </c>
      <c r="G15">
        <f>IF(B15&lt;&gt;0,F15/B15,0)</f>
        <v/>
      </c>
    </row>
    <row r="16">
      <c r="A16" t="inlineStr">
        <is>
          <t>Total</t>
        </is>
      </c>
      <c r="B16">
        <f>SUM(B5:B15)</f>
        <v/>
      </c>
      <c r="C16">
        <f>SUM(C5:C15)</f>
        <v/>
      </c>
      <c r="D16">
        <f>SUM(D5:D15)</f>
        <v/>
      </c>
      <c r="E16">
        <f>SUM(E5:E15)</f>
        <v/>
      </c>
      <c r="F16">
        <f>E16-B16</f>
        <v/>
      </c>
      <c r="G16">
        <f>IF(B16&lt;&gt;0,F16/B16,0)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2026-01-27T15:47:44Z</dcterms:created>
  <dcterms:modified xmlns:dcterms="http://purl.org/dc/terms/" xmlns:xsi="http://www.w3.org/2001/XMLSchema-instance" xsi:type="dcterms:W3CDTF">2026-01-27T15:47:44Z</dcterms:modified>
</cp:coreProperties>
</file>