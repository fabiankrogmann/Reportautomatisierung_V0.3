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aS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SaaS P&amp;L - CloudTech Inc.</t>
        </is>
      </c>
    </row>
    <row r="2">
      <c r="A2" t="inlineStr">
        <is>
          <t>FY 2025 | USD thousands | ARR/MRR Scenario Comparison</t>
        </is>
      </c>
    </row>
    <row r="4">
      <c r="A4" s="2" t="inlineStr">
        <is>
          <t>Metric</t>
        </is>
      </c>
      <c r="B4" s="2" t="inlineStr">
        <is>
          <t>PY Actual</t>
        </is>
      </c>
      <c r="C4" s="2" t="inlineStr">
        <is>
          <t>Conservative FC</t>
        </is>
      </c>
      <c r="D4" s="2" t="inlineStr">
        <is>
          <t>Base FC</t>
        </is>
      </c>
      <c r="E4" s="2" t="inlineStr">
        <is>
          <t>Aggressive FC</t>
        </is>
      </c>
      <c r="F4" s="2" t="inlineStr">
        <is>
          <t>Board Target</t>
        </is>
      </c>
    </row>
    <row r="5">
      <c r="A5" t="inlineStr">
        <is>
          <t>Opening ARR</t>
        </is>
      </c>
      <c r="B5" t="n">
        <v>24000</v>
      </c>
      <c r="C5" t="n">
        <v>28800</v>
      </c>
      <c r="D5" t="n">
        <v>28800</v>
      </c>
      <c r="E5" t="n">
        <v>28800</v>
      </c>
      <c r="F5" t="n">
        <v>28800</v>
      </c>
    </row>
    <row r="6">
      <c r="A6" t="inlineStr">
        <is>
          <t>New Business ARR</t>
        </is>
      </c>
      <c r="B6" t="n">
        <v>4800</v>
      </c>
      <c r="C6" t="n">
        <v>5280</v>
      </c>
      <c r="D6" t="n">
        <v>5760</v>
      </c>
      <c r="E6" t="n">
        <v>6336</v>
      </c>
      <c r="F6" t="n">
        <v>6912</v>
      </c>
    </row>
    <row r="7">
      <c r="A7" t="inlineStr">
        <is>
          <t>Expansion ARR</t>
        </is>
      </c>
      <c r="B7" t="n">
        <v>2400</v>
      </c>
      <c r="C7" t="n">
        <v>2592</v>
      </c>
      <c r="D7" t="n">
        <v>2880</v>
      </c>
      <c r="E7" t="n">
        <v>3168</v>
      </c>
      <c r="F7" t="n">
        <v>3456</v>
      </c>
    </row>
    <row r="8">
      <c r="A8" t="inlineStr">
        <is>
          <t>Churn ARR</t>
        </is>
      </c>
      <c r="B8" t="n">
        <v>-2400</v>
      </c>
      <c r="C8" t="n">
        <v>-2592</v>
      </c>
      <c r="D8" t="n">
        <v>-2304</v>
      </c>
      <c r="E8" t="n">
        <v>-2016</v>
      </c>
      <c r="F8" t="n">
        <v>-1728</v>
      </c>
    </row>
    <row r="9">
      <c r="A9" t="inlineStr">
        <is>
          <t>Closing ARR</t>
        </is>
      </c>
      <c r="B9">
        <f>SUM(B5:B8)</f>
        <v/>
      </c>
      <c r="C9">
        <f>SUM(C5:C8)</f>
        <v/>
      </c>
      <c r="D9">
        <f>SUM(D5:D8)</f>
        <v/>
      </c>
      <c r="E9">
        <f>SUM(E5:E8)</f>
        <v/>
      </c>
      <c r="F9">
        <f>SUM(F5:F8)</f>
        <v/>
      </c>
    </row>
    <row r="10">
      <c r="A10" t="inlineStr"/>
    </row>
    <row r="11">
      <c r="A11" t="inlineStr">
        <is>
          <t>Monthly Recurring Revenue</t>
        </is>
      </c>
      <c r="B11">
        <f>B9/12</f>
        <v/>
      </c>
      <c r="C11">
        <f>C9/12</f>
        <v/>
      </c>
      <c r="D11">
        <f>D9/12</f>
        <v/>
      </c>
      <c r="E11">
        <f>E9/12</f>
        <v/>
      </c>
      <c r="F11">
        <f>F9/12</f>
        <v/>
      </c>
    </row>
    <row r="12">
      <c r="A12" t="inlineStr">
        <is>
          <t>Subscription Revenue</t>
        </is>
      </c>
      <c r="B12">
        <f>(B5+B9)/2</f>
        <v/>
      </c>
      <c r="C12">
        <f>(C5+C9)/2</f>
        <v/>
      </c>
      <c r="D12">
        <f>(D5+D9)/2</f>
        <v/>
      </c>
      <c r="E12">
        <f>(E5+E9)/2</f>
        <v/>
      </c>
      <c r="F12">
        <f>(F5+F9)/2</f>
        <v/>
      </c>
    </row>
    <row r="13">
      <c r="A13" t="inlineStr">
        <is>
          <t>Professional Services</t>
        </is>
      </c>
      <c r="B13" t="n">
        <v>1200</v>
      </c>
      <c r="C13" t="n">
        <v>1320</v>
      </c>
      <c r="D13" t="n">
        <v>1440</v>
      </c>
      <c r="E13" t="n">
        <v>1584</v>
      </c>
      <c r="F13" t="n">
        <v>1728</v>
      </c>
    </row>
    <row r="14">
      <c r="A14" t="inlineStr">
        <is>
          <t>Total Revenue</t>
        </is>
      </c>
      <c r="B14">
        <f>B12+B13</f>
        <v/>
      </c>
      <c r="C14">
        <f>C12+C13</f>
        <v/>
      </c>
      <c r="D14">
        <f>D12+D13</f>
        <v/>
      </c>
      <c r="E14">
        <f>E12+E13</f>
        <v/>
      </c>
      <c r="F14">
        <f>F12+F13</f>
        <v/>
      </c>
    </row>
    <row r="15">
      <c r="A15" t="inlineStr"/>
    </row>
    <row r="16">
      <c r="A16" t="inlineStr">
        <is>
          <t>Cost of Revenue</t>
        </is>
      </c>
      <c r="B16" t="n">
        <v>-9600</v>
      </c>
      <c r="C16" t="n">
        <v>-10176</v>
      </c>
      <c r="D16" t="n">
        <v>-10656</v>
      </c>
      <c r="E16" t="n">
        <v>-11232</v>
      </c>
      <c r="F16" t="n">
        <v>-11808</v>
      </c>
    </row>
    <row r="17">
      <c r="A17" t="inlineStr">
        <is>
          <t>Gross Profit</t>
        </is>
      </c>
      <c r="B17">
        <f>B14+B16</f>
        <v/>
      </c>
      <c r="C17">
        <f>C14+C16</f>
        <v/>
      </c>
      <c r="D17">
        <f>D14+D16</f>
        <v/>
      </c>
      <c r="E17">
        <f>E14+E16</f>
        <v/>
      </c>
      <c r="F17">
        <f>F14+F16</f>
        <v/>
      </c>
    </row>
    <row r="18">
      <c r="A18" t="inlineStr">
        <is>
          <t>Sales &amp; Marketing</t>
        </is>
      </c>
      <c r="B18" t="n">
        <v>-7200</v>
      </c>
      <c r="C18" t="n">
        <v>-7632</v>
      </c>
      <c r="D18" t="n">
        <v>-7992</v>
      </c>
      <c r="E18" t="n">
        <v>-8424</v>
      </c>
      <c r="F18" t="n">
        <v>-8856</v>
      </c>
    </row>
    <row r="19">
      <c r="A19" t="inlineStr">
        <is>
          <t>R&amp;D</t>
        </is>
      </c>
      <c r="B19" t="n">
        <v>-4800</v>
      </c>
      <c r="C19" t="n">
        <v>-5088</v>
      </c>
      <c r="D19" t="n">
        <v>-5328</v>
      </c>
      <c r="E19" t="n">
        <v>-5616</v>
      </c>
      <c r="F19" t="n">
        <v>-5904</v>
      </c>
    </row>
    <row r="20">
      <c r="A20" t="inlineStr">
        <is>
          <t>G&amp;A</t>
        </is>
      </c>
      <c r="B20" t="n">
        <v>-2400</v>
      </c>
      <c r="C20" t="n">
        <v>-2544</v>
      </c>
      <c r="D20" t="n">
        <v>-2664</v>
      </c>
      <c r="E20" t="n">
        <v>-2808</v>
      </c>
      <c r="F20" t="n">
        <v>-2952</v>
      </c>
    </row>
    <row r="21">
      <c r="A21" t="inlineStr">
        <is>
          <t>EBITDA</t>
        </is>
      </c>
      <c r="B21">
        <f>B17+B18+B19+B20</f>
        <v/>
      </c>
      <c r="C21">
        <f>C17+C18+C19+C20</f>
        <v/>
      </c>
      <c r="D21">
        <f>D17+D18+D19+D20</f>
        <v/>
      </c>
      <c r="E21">
        <f>E17+E18+E19+E20</f>
        <v/>
      </c>
      <c r="F21">
        <f>F17+F18+F19+F20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2026-01-27T15:43:23Z</dcterms:created>
  <dcterms:modified xmlns:dcterms="http://purl.org/dc/terms/" xmlns:xsi="http://www.w3.org/2001/XMLSchema-instance" xsi:type="dcterms:W3CDTF">2026-01-27T15:43:23Z</dcterms:modified>
</cp:coreProperties>
</file>