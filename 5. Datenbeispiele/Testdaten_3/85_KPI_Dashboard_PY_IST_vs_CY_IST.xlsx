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Yo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KPI Dashboard Year-over-Year - Industrial Corp</t>
        </is>
      </c>
    </row>
    <row r="2">
      <c r="A2" t="inlineStr">
        <is>
          <t>2024 IST vs 2025 IST | Mixed Units</t>
        </is>
      </c>
    </row>
    <row r="4">
      <c r="A4" s="2" t="inlineStr">
        <is>
          <t>KPI</t>
        </is>
      </c>
      <c r="B4" s="2" t="inlineStr">
        <is>
          <t>Unit</t>
        </is>
      </c>
      <c r="C4" s="2" t="inlineStr">
        <is>
          <t>2024 IST</t>
        </is>
      </c>
      <c r="D4" s="2" t="inlineStr">
        <is>
          <t>2025 IST</t>
        </is>
      </c>
      <c r="E4" s="2" t="inlineStr">
        <is>
          <t>YoY Δ</t>
        </is>
      </c>
      <c r="F4" s="2" t="inlineStr">
        <is>
          <t>YoY %</t>
        </is>
      </c>
      <c r="G4" s="2" t="inlineStr">
        <is>
          <t>Target 2025</t>
        </is>
      </c>
      <c r="H4" s="2" t="inlineStr">
        <is>
          <t>vs Target</t>
        </is>
      </c>
    </row>
    <row r="5">
      <c r="A5" s="3" t="inlineStr">
        <is>
          <t>FINANCIAL KPIs</t>
        </is>
      </c>
      <c r="B5" t="inlineStr"/>
    </row>
    <row r="6">
      <c r="A6" t="inlineStr">
        <is>
          <t>Revenue</t>
        </is>
      </c>
      <c r="B6" t="inlineStr">
        <is>
          <t>EUR m</t>
        </is>
      </c>
      <c r="C6" t="n">
        <v>245</v>
      </c>
      <c r="D6" t="n">
        <v>269.5</v>
      </c>
      <c r="E6">
        <f>D6-C6</f>
        <v/>
      </c>
      <c r="F6">
        <f>IF(C6&lt;&gt;0,E6/C6,0)</f>
        <v/>
      </c>
      <c r="G6" t="n">
        <v>275</v>
      </c>
      <c r="H6">
        <f>D6-G6</f>
        <v/>
      </c>
    </row>
    <row r="7">
      <c r="A7" t="inlineStr">
        <is>
          <t>Gross Margin</t>
        </is>
      </c>
      <c r="B7" t="inlineStr">
        <is>
          <t>%</t>
        </is>
      </c>
      <c r="C7" t="n">
        <v>42.5</v>
      </c>
      <c r="D7" t="n">
        <v>43.2</v>
      </c>
      <c r="E7">
        <f>D7-C7</f>
        <v/>
      </c>
      <c r="F7">
        <f>IF(C7&lt;&gt;0,E7/C7,0)</f>
        <v/>
      </c>
      <c r="G7" t="n">
        <v>44</v>
      </c>
      <c r="H7">
        <f>D7-G7</f>
        <v/>
      </c>
    </row>
    <row r="8">
      <c r="A8" t="inlineStr">
        <is>
          <t>EBITDA</t>
        </is>
      </c>
      <c r="B8" t="inlineStr">
        <is>
          <t>EUR m</t>
        </is>
      </c>
      <c r="C8" t="n">
        <v>44.1</v>
      </c>
      <c r="D8" t="n">
        <v>50.2</v>
      </c>
      <c r="E8">
        <f>D8-C8</f>
        <v/>
      </c>
      <c r="F8">
        <f>IF(C8&lt;&gt;0,E8/C8,0)</f>
        <v/>
      </c>
      <c r="G8" t="n">
        <v>52</v>
      </c>
      <c r="H8">
        <f>D8-G8</f>
        <v/>
      </c>
    </row>
    <row r="9">
      <c r="A9" t="inlineStr">
        <is>
          <t>EBITDA Margin</t>
        </is>
      </c>
      <c r="B9" t="inlineStr">
        <is>
          <t>%</t>
        </is>
      </c>
      <c r="C9" t="n">
        <v>18</v>
      </c>
      <c r="D9" t="n">
        <v>18.6</v>
      </c>
      <c r="E9">
        <f>D9-C9</f>
        <v/>
      </c>
      <c r="F9">
        <f>IF(C9&lt;&gt;0,E9/C9,0)</f>
        <v/>
      </c>
      <c r="G9" t="n">
        <v>19</v>
      </c>
      <c r="H9">
        <f>D9-G9</f>
        <v/>
      </c>
    </row>
    <row r="10">
      <c r="A10" t="inlineStr">
        <is>
          <t>Net Profit</t>
        </is>
      </c>
      <c r="B10" t="inlineStr">
        <is>
          <t>EUR m</t>
        </is>
      </c>
      <c r="C10" t="n">
        <v>22.1</v>
      </c>
      <c r="D10" t="n">
        <v>25.9</v>
      </c>
      <c r="E10">
        <f>D10-C10</f>
        <v/>
      </c>
      <c r="F10">
        <f>IF(C10&lt;&gt;0,E10/C10,0)</f>
        <v/>
      </c>
      <c r="G10" t="n">
        <v>27</v>
      </c>
      <c r="H10">
        <f>D10-G10</f>
        <v/>
      </c>
    </row>
    <row r="11">
      <c r="A11" t="inlineStr">
        <is>
          <t>ROIC</t>
        </is>
      </c>
      <c r="B11" t="inlineStr">
        <is>
          <t>%</t>
        </is>
      </c>
      <c r="C11" t="n">
        <v>12.5</v>
      </c>
      <c r="D11" t="n">
        <v>13.2</v>
      </c>
      <c r="E11">
        <f>D11-C11</f>
        <v/>
      </c>
      <c r="F11">
        <f>IF(C11&lt;&gt;0,E11/C11,0)</f>
        <v/>
      </c>
      <c r="G11" t="n">
        <v>14</v>
      </c>
      <c r="H11">
        <f>D11-G11</f>
        <v/>
      </c>
    </row>
    <row r="12">
      <c r="A12" t="inlineStr"/>
      <c r="B12" t="inlineStr"/>
    </row>
    <row r="13">
      <c r="A13" s="3" t="inlineStr">
        <is>
          <t>OPERATIONAL KPIs</t>
        </is>
      </c>
      <c r="B13" t="inlineStr"/>
    </row>
    <row r="14">
      <c r="A14" t="inlineStr">
        <is>
          <t>Order Intake</t>
        </is>
      </c>
      <c r="B14" t="inlineStr">
        <is>
          <t>EUR m</t>
        </is>
      </c>
      <c r="C14" t="n">
        <v>265</v>
      </c>
      <c r="D14" t="n">
        <v>291.5</v>
      </c>
      <c r="E14">
        <f>D14-C14</f>
        <v/>
      </c>
      <c r="F14">
        <f>IF(C14&lt;&gt;0,E14/C14,0)</f>
        <v/>
      </c>
      <c r="G14" t="n">
        <v>295</v>
      </c>
      <c r="H14">
        <f>D14-G14</f>
        <v/>
      </c>
    </row>
    <row r="15">
      <c r="A15" t="inlineStr">
        <is>
          <t>Book-to-Bill</t>
        </is>
      </c>
      <c r="B15" t="inlineStr">
        <is>
          <t>x</t>
        </is>
      </c>
      <c r="C15" t="n">
        <v>1.08</v>
      </c>
      <c r="D15" t="n">
        <v>1.08</v>
      </c>
      <c r="E15">
        <f>D15-C15</f>
        <v/>
      </c>
      <c r="F15">
        <f>IF(C15&lt;&gt;0,E15/C15,0)</f>
        <v/>
      </c>
      <c r="G15" t="n">
        <v>1.07</v>
      </c>
      <c r="H15">
        <f>D15-G15</f>
        <v/>
      </c>
    </row>
    <row r="16">
      <c r="A16" t="inlineStr">
        <is>
          <t>Backlog</t>
        </is>
      </c>
      <c r="B16" t="inlineStr">
        <is>
          <t>EUR m</t>
        </is>
      </c>
      <c r="C16" t="n">
        <v>185</v>
      </c>
      <c r="D16" t="n">
        <v>207.5</v>
      </c>
      <c r="E16">
        <f>D16-C16</f>
        <v/>
      </c>
      <c r="F16">
        <f>IF(C16&lt;&gt;0,E16/C16,0)</f>
        <v/>
      </c>
      <c r="G16" t="n">
        <v>210</v>
      </c>
      <c r="H16">
        <f>D16-G16</f>
        <v/>
      </c>
    </row>
    <row r="17">
      <c r="A17" t="inlineStr">
        <is>
          <t>OTD Rate</t>
        </is>
      </c>
      <c r="B17" t="inlineStr">
        <is>
          <t>%</t>
        </is>
      </c>
      <c r="C17" t="n">
        <v>94.2</v>
      </c>
      <c r="D17" t="n">
        <v>95.09999999999999</v>
      </c>
      <c r="E17">
        <f>D17-C17</f>
        <v/>
      </c>
      <c r="F17">
        <f>IF(C17&lt;&gt;0,E17/C17,0)</f>
        <v/>
      </c>
      <c r="G17" t="n">
        <v>96</v>
      </c>
      <c r="H17">
        <f>D17-G17</f>
        <v/>
      </c>
    </row>
    <row r="18">
      <c r="A18" t="inlineStr">
        <is>
          <t>Capacity Util.</t>
        </is>
      </c>
      <c r="B18" t="inlineStr">
        <is>
          <t>%</t>
        </is>
      </c>
      <c r="C18" t="n">
        <v>82</v>
      </c>
      <c r="D18" t="n">
        <v>85</v>
      </c>
      <c r="E18">
        <f>D18-C18</f>
        <v/>
      </c>
      <c r="F18">
        <f>IF(C18&lt;&gt;0,E18/C18,0)</f>
        <v/>
      </c>
      <c r="G18" t="n">
        <v>87</v>
      </c>
      <c r="H18">
        <f>D18-G18</f>
        <v/>
      </c>
    </row>
    <row r="19">
      <c r="A19" t="inlineStr"/>
      <c r="B19" t="inlineStr"/>
    </row>
    <row r="20">
      <c r="A20" s="3" t="inlineStr">
        <is>
          <t>EFFICIENCY KPIs</t>
        </is>
      </c>
      <c r="B20" t="inlineStr"/>
    </row>
    <row r="21">
      <c r="A21" t="inlineStr">
        <is>
          <t>Revenue/FTE</t>
        </is>
      </c>
      <c r="B21" t="inlineStr">
        <is>
          <t>TEUR</t>
        </is>
      </c>
      <c r="C21" t="n">
        <v>285</v>
      </c>
      <c r="D21" t="n">
        <v>305</v>
      </c>
      <c r="E21">
        <f>D21-C21</f>
        <v/>
      </c>
      <c r="F21">
        <f>IF(C21&lt;&gt;0,E21/C21,0)</f>
        <v/>
      </c>
      <c r="G21" t="n">
        <v>310</v>
      </c>
      <c r="H21">
        <f>D21-G21</f>
        <v/>
      </c>
    </row>
    <row r="22">
      <c r="A22" t="inlineStr">
        <is>
          <t>DSO</t>
        </is>
      </c>
      <c r="B22" t="inlineStr">
        <is>
          <t>Days</t>
        </is>
      </c>
      <c r="C22" t="n">
        <v>52</v>
      </c>
      <c r="D22" t="n">
        <v>49</v>
      </c>
      <c r="E22">
        <f>D22-C22</f>
        <v/>
      </c>
      <c r="F22">
        <f>IF(C22&lt;&gt;0,E22/C22,0)</f>
        <v/>
      </c>
      <c r="G22" t="n">
        <v>45</v>
      </c>
      <c r="H22">
        <f>D22-G22</f>
        <v/>
      </c>
    </row>
    <row r="23">
      <c r="A23" t="inlineStr">
        <is>
          <t>DPO</t>
        </is>
      </c>
      <c r="B23" t="inlineStr">
        <is>
          <t>Days</t>
        </is>
      </c>
      <c r="C23" t="n">
        <v>38</v>
      </c>
      <c r="D23" t="n">
        <v>40</v>
      </c>
      <c r="E23">
        <f>D23-C23</f>
        <v/>
      </c>
      <c r="F23">
        <f>IF(C23&lt;&gt;0,E23/C23,0)</f>
        <v/>
      </c>
      <c r="G23" t="n">
        <v>42</v>
      </c>
      <c r="H23">
        <f>D23-G23</f>
        <v/>
      </c>
    </row>
    <row r="24">
      <c r="A24" t="inlineStr">
        <is>
          <t>Inventory Turns</t>
        </is>
      </c>
      <c r="B24" t="inlineStr">
        <is>
          <t>x</t>
        </is>
      </c>
      <c r="C24" t="n">
        <v>5.2</v>
      </c>
      <c r="D24" t="n">
        <v>5.5</v>
      </c>
      <c r="E24">
        <f>D24-C24</f>
        <v/>
      </c>
      <c r="F24">
        <f>IF(C24&lt;&gt;0,E24/C24,0)</f>
        <v/>
      </c>
      <c r="G24" t="n">
        <v>5.8</v>
      </c>
      <c r="H24">
        <f>D24-G24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2026-01-27T15:47:44Z</dcterms:created>
  <dcterms:modified xmlns:dcterms="http://purl.org/dc/terms/" xmlns:xsi="http://www.w3.org/2001/XMLSchema-instance" xsi:type="dcterms:W3CDTF">2026-01-27T15:47:44Z</dcterms:modified>
</cp:coreProperties>
</file>