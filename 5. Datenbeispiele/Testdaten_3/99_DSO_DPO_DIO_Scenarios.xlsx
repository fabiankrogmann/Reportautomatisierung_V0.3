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Cash Conversion Cycle Analysis - Distribution Ltd</t>
        </is>
      </c>
    </row>
    <row r="2">
      <c r="A2" t="inlineStr">
        <is>
          <t>FY 2025 | Days | Multi-Scenario by Quarter</t>
        </is>
      </c>
    </row>
    <row r="4">
      <c r="A4" s="2" t="inlineStr">
        <is>
          <t>Metric</t>
        </is>
      </c>
      <c r="B4" s="2" t="inlineStr">
        <is>
          <t>Q1 PY IST</t>
        </is>
      </c>
      <c r="C4" s="2" t="inlineStr">
        <is>
          <t>Q1 FC</t>
        </is>
      </c>
      <c r="D4" s="2" t="inlineStr">
        <is>
          <t>Q1 BUD</t>
        </is>
      </c>
      <c r="E4" s="2" t="inlineStr">
        <is>
          <t>Q2 PY IST</t>
        </is>
      </c>
      <c r="F4" s="2" t="inlineStr">
        <is>
          <t>Q2 FC</t>
        </is>
      </c>
      <c r="G4" s="2" t="inlineStr">
        <is>
          <t>Q2 BUD</t>
        </is>
      </c>
      <c r="H4" s="2" t="inlineStr">
        <is>
          <t>Q3 PY IST</t>
        </is>
      </c>
      <c r="I4" s="2" t="inlineStr">
        <is>
          <t>Q3 FC</t>
        </is>
      </c>
      <c r="J4" s="2" t="inlineStr">
        <is>
          <t>Q3 BUD</t>
        </is>
      </c>
      <c r="K4" s="2" t="inlineStr">
        <is>
          <t>Q4 PY IST</t>
        </is>
      </c>
      <c r="L4" s="2" t="inlineStr">
        <is>
          <t>Q4 FC</t>
        </is>
      </c>
      <c r="M4" s="2" t="inlineStr">
        <is>
          <t>Q4 BUD</t>
        </is>
      </c>
    </row>
    <row r="5">
      <c r="A5" t="inlineStr">
        <is>
          <t>DSO (Days Sales Outstanding)</t>
        </is>
      </c>
      <c r="B5" t="n">
        <v>48</v>
      </c>
      <c r="C5" t="n">
        <v>46</v>
      </c>
      <c r="D5" t="n">
        <v>45</v>
      </c>
      <c r="E5" t="n">
        <v>50</v>
      </c>
      <c r="F5" t="n">
        <v>47</v>
      </c>
      <c r="G5" t="n">
        <v>44</v>
      </c>
      <c r="H5" t="n">
        <v>47</v>
      </c>
      <c r="I5" t="n">
        <v>45</v>
      </c>
      <c r="J5" t="n">
        <v>43</v>
      </c>
      <c r="K5" t="n">
        <v>52</v>
      </c>
      <c r="L5" t="n">
        <v>48</v>
      </c>
      <c r="M5" t="n">
        <v>45</v>
      </c>
    </row>
    <row r="6">
      <c r="A6" t="inlineStr">
        <is>
          <t>DIO (Days Inventory Outstanding)</t>
        </is>
      </c>
      <c r="B6" t="n">
        <v>62</v>
      </c>
      <c r="C6" t="n">
        <v>60</v>
      </c>
      <c r="D6" t="n">
        <v>58</v>
      </c>
      <c r="E6" t="n">
        <v>65</v>
      </c>
      <c r="F6" t="n">
        <v>62</v>
      </c>
      <c r="G6" t="n">
        <v>59</v>
      </c>
      <c r="H6" t="n">
        <v>60</v>
      </c>
      <c r="I6" t="n">
        <v>58</v>
      </c>
      <c r="J6" t="n">
        <v>56</v>
      </c>
      <c r="K6" t="n">
        <v>68</v>
      </c>
      <c r="L6" t="n">
        <v>64</v>
      </c>
      <c r="M6" t="n">
        <v>60</v>
      </c>
    </row>
    <row r="7">
      <c r="A7" t="inlineStr">
        <is>
          <t>DPO (Days Payables Outstanding)</t>
        </is>
      </c>
      <c r="B7" t="n">
        <v>42</v>
      </c>
      <c r="C7" t="n">
        <v>43</v>
      </c>
      <c r="D7" t="n">
        <v>44</v>
      </c>
      <c r="E7" t="n">
        <v>44</v>
      </c>
      <c r="F7" t="n">
        <v>45</v>
      </c>
      <c r="G7" t="n">
        <v>46</v>
      </c>
      <c r="H7" t="n">
        <v>43</v>
      </c>
      <c r="I7" t="n">
        <v>44</v>
      </c>
      <c r="J7" t="n">
        <v>45</v>
      </c>
      <c r="K7" t="n">
        <v>46</v>
      </c>
      <c r="L7" t="n">
        <v>47</v>
      </c>
      <c r="M7" t="n">
        <v>48</v>
      </c>
    </row>
    <row r="8">
      <c r="A8" t="inlineStr">
        <is>
          <t>Cash Conversion Cycle</t>
        </is>
      </c>
      <c r="B8">
        <f>B5+B6-B7</f>
        <v/>
      </c>
      <c r="C8">
        <f>C5+C6-C7</f>
        <v/>
      </c>
      <c r="D8">
        <f>D5+D6-D7</f>
        <v/>
      </c>
      <c r="E8">
        <f>E5+E6-E7</f>
        <v/>
      </c>
      <c r="F8">
        <f>F5+F6-F7</f>
        <v/>
      </c>
      <c r="G8">
        <f>G5+G6-G7</f>
        <v/>
      </c>
      <c r="H8">
        <f>H5+H6-H7</f>
        <v/>
      </c>
      <c r="I8">
        <f>I5+I6-I7</f>
        <v/>
      </c>
      <c r="J8">
        <f>J5+J6-J7</f>
        <v/>
      </c>
      <c r="K8">
        <f>K5+K6-K7</f>
        <v/>
      </c>
      <c r="L8">
        <f>L5+L6-L7</f>
        <v/>
      </c>
      <c r="M8">
        <f>M5+M6-M7</f>
        <v/>
      </c>
    </row>
    <row r="9">
      <c r="A9" t="inlineStr"/>
    </row>
    <row r="10">
      <c r="A10" t="inlineStr">
        <is>
          <t>Working Capital (EUR m)</t>
        </is>
      </c>
      <c r="B10" t="n">
        <v>28.5</v>
      </c>
      <c r="C10" t="n">
        <v>27.2</v>
      </c>
      <c r="D10" t="n">
        <v>26</v>
      </c>
      <c r="E10" t="n">
        <v>30.2</v>
      </c>
      <c r="F10" t="n">
        <v>28.5</v>
      </c>
      <c r="G10" t="n">
        <v>27</v>
      </c>
      <c r="H10" t="n">
        <v>27.8</v>
      </c>
      <c r="I10" t="n">
        <v>26.5</v>
      </c>
      <c r="J10" t="n">
        <v>25.2</v>
      </c>
      <c r="K10" t="n">
        <v>32.5</v>
      </c>
      <c r="L10" t="n">
        <v>30</v>
      </c>
      <c r="M10" t="n">
        <v>28</v>
      </c>
    </row>
    <row r="11">
      <c r="A11" t="inlineStr">
        <is>
          <t>Revenue (EUR m)</t>
        </is>
      </c>
      <c r="B11" t="n">
        <v>85</v>
      </c>
      <c r="C11" t="n">
        <v>88.40000000000001</v>
      </c>
      <c r="D11" t="n">
        <v>90</v>
      </c>
      <c r="E11" t="n">
        <v>92</v>
      </c>
      <c r="F11" t="n">
        <v>95.7</v>
      </c>
      <c r="G11" t="n">
        <v>97.5</v>
      </c>
      <c r="H11" t="n">
        <v>88</v>
      </c>
      <c r="I11" t="n">
        <v>91.5</v>
      </c>
      <c r="J11" t="n">
        <v>93.2</v>
      </c>
      <c r="K11" t="n">
        <v>102</v>
      </c>
      <c r="L11" t="n">
        <v>106.1</v>
      </c>
      <c r="M11" t="n">
        <v>108</v>
      </c>
    </row>
    <row r="12">
      <c r="A12" t="inlineStr">
        <is>
          <t>WC as % Revenue</t>
        </is>
      </c>
      <c r="B12">
        <f>B10/B11</f>
        <v/>
      </c>
      <c r="C12">
        <f>C10/C11</f>
        <v/>
      </c>
      <c r="D12">
        <f>D10/D11</f>
        <v/>
      </c>
      <c r="E12">
        <f>E10/E11</f>
        <v/>
      </c>
      <c r="F12">
        <f>F10/F11</f>
        <v/>
      </c>
      <c r="G12">
        <f>G10/G11</f>
        <v/>
      </c>
      <c r="H12">
        <f>H10/H11</f>
        <v/>
      </c>
      <c r="I12">
        <f>I10/I11</f>
        <v/>
      </c>
      <c r="J12">
        <f>J10/J11</f>
        <v/>
      </c>
      <c r="K12">
        <f>K10/K11</f>
        <v/>
      </c>
      <c r="L12">
        <f>L10/L11</f>
        <v/>
      </c>
      <c r="M12">
        <f>M10/M11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2026-01-27T15:50:06Z</dcterms:created>
  <dcterms:modified xmlns:dcterms="http://purl.org/dc/terms/" xmlns:xsi="http://www.w3.org/2001/XMLSchema-instance" xsi:type="dcterms:W3CDTF">2026-01-27T15:50:06Z</dcterms:modified>
</cp:coreProperties>
</file>