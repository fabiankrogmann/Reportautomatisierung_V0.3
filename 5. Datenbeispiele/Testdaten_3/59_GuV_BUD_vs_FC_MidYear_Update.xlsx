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dYear Up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GuV Mid-Year Forecast Update - Logistics SE</t>
        </is>
      </c>
    </row>
    <row r="2">
      <c r="A2" t="inlineStr">
        <is>
          <t>FY 2025 | TEUR | Budget vs Mid-Year FC Update</t>
        </is>
      </c>
    </row>
    <row r="4">
      <c r="A4" s="2" t="inlineStr">
        <is>
          <t>Position</t>
        </is>
      </c>
      <c r="B4" s="2" t="inlineStr">
        <is>
          <t>H1 Actual</t>
        </is>
      </c>
      <c r="C4" s="2" t="inlineStr">
        <is>
          <t>H2 BUD orig</t>
        </is>
      </c>
      <c r="D4" s="2" t="inlineStr">
        <is>
          <t>H2 FC Update</t>
        </is>
      </c>
      <c r="E4" s="2" t="inlineStr">
        <is>
          <t>FY BUD</t>
        </is>
      </c>
      <c r="F4" s="2" t="inlineStr">
        <is>
          <t>FY FC Update</t>
        </is>
      </c>
      <c r="G4" s="2" t="inlineStr">
        <is>
          <t>Δ FC vs BUD</t>
        </is>
      </c>
      <c r="H4" s="2" t="inlineStr">
        <is>
          <t>Δ %</t>
        </is>
      </c>
    </row>
    <row r="5">
      <c r="A5" t="inlineStr">
        <is>
          <t>Umsatzerlöse</t>
        </is>
      </c>
      <c r="B5" t="n">
        <v>78500</v>
      </c>
      <c r="C5" t="n">
        <v>84000</v>
      </c>
      <c r="D5" t="n">
        <v>81200</v>
      </c>
      <c r="E5" t="n">
        <v>162500</v>
      </c>
      <c r="F5">
        <f>B5+D5</f>
        <v/>
      </c>
      <c r="G5">
        <f>F5-E5</f>
        <v/>
      </c>
      <c r="H5">
        <f>IF(E5&lt;&gt;0,G5/E5,0)</f>
        <v/>
      </c>
    </row>
    <row r="6">
      <c r="A6" t="inlineStr">
        <is>
          <t>Transportkosten</t>
        </is>
      </c>
      <c r="B6" t="n">
        <v>-47100</v>
      </c>
      <c r="C6" t="n">
        <v>-50400</v>
      </c>
      <c r="D6" t="n">
        <v>-48720</v>
      </c>
      <c r="E6" t="n">
        <v>-97500</v>
      </c>
      <c r="F6">
        <f>B6+D6</f>
        <v/>
      </c>
      <c r="G6">
        <f>F6-E6</f>
        <v/>
      </c>
      <c r="H6">
        <f>IF(E6&lt;&gt;0,G6/E6,0)</f>
        <v/>
      </c>
    </row>
    <row r="7">
      <c r="A7" t="inlineStr">
        <is>
          <t>Deckungsbeitrag</t>
        </is>
      </c>
      <c r="B7">
        <f>B5+B6</f>
        <v/>
      </c>
      <c r="C7">
        <f>C5+C6</f>
        <v/>
      </c>
      <c r="D7">
        <f>D5+D6</f>
        <v/>
      </c>
      <c r="E7">
        <f>E5+E6</f>
        <v/>
      </c>
      <c r="F7">
        <f>B7+D7</f>
        <v/>
      </c>
      <c r="G7">
        <f>F7-E7</f>
        <v/>
      </c>
      <c r="H7">
        <f>IF(E7&lt;&gt;0,G7/E7,0)</f>
        <v/>
      </c>
    </row>
    <row r="8">
      <c r="A8" t="inlineStr">
        <is>
          <t>Personalkosten</t>
        </is>
      </c>
      <c r="B8" t="n">
        <v>-15700</v>
      </c>
      <c r="C8" t="n">
        <v>-16800</v>
      </c>
      <c r="D8" t="n">
        <v>-16240</v>
      </c>
      <c r="E8" t="n">
        <v>-32500</v>
      </c>
      <c r="F8">
        <f>B8+D8</f>
        <v/>
      </c>
      <c r="G8">
        <f>F8-E8</f>
        <v/>
      </c>
      <c r="H8">
        <f>IF(E8&lt;&gt;0,G8/E8,0)</f>
        <v/>
      </c>
    </row>
    <row r="9">
      <c r="A9" t="inlineStr">
        <is>
          <t>Fahrzeugkosten</t>
        </is>
      </c>
      <c r="B9" t="n">
        <v>-7850</v>
      </c>
      <c r="C9" t="n">
        <v>-8400</v>
      </c>
      <c r="D9" t="n">
        <v>-8120</v>
      </c>
      <c r="E9" t="n">
        <v>-16250</v>
      </c>
      <c r="F9">
        <f>B9+D9</f>
        <v/>
      </c>
      <c r="G9">
        <f>F9-E9</f>
        <v/>
      </c>
      <c r="H9">
        <f>IF(E9&lt;&gt;0,G9/E9,0)</f>
        <v/>
      </c>
    </row>
    <row r="10">
      <c r="A10" t="inlineStr">
        <is>
          <t>Verwaltung</t>
        </is>
      </c>
      <c r="B10" t="n">
        <v>-3925</v>
      </c>
      <c r="C10" t="n">
        <v>-4200</v>
      </c>
      <c r="D10" t="n">
        <v>-4060</v>
      </c>
      <c r="E10" t="n">
        <v>-8125</v>
      </c>
      <c r="F10">
        <f>B10+D10</f>
        <v/>
      </c>
      <c r="G10">
        <f>F10-E10</f>
        <v/>
      </c>
      <c r="H10">
        <f>IF(E10&lt;&gt;0,G10/E10,0)</f>
        <v/>
      </c>
    </row>
    <row r="11">
      <c r="A11" t="inlineStr">
        <is>
          <t>Sonstige Kosten</t>
        </is>
      </c>
      <c r="B11" t="n">
        <v>-1963</v>
      </c>
      <c r="C11" t="n">
        <v>-2100</v>
      </c>
      <c r="D11" t="n">
        <v>-2030</v>
      </c>
      <c r="E11" t="n">
        <v>-4063</v>
      </c>
      <c r="F11">
        <f>B11+D11</f>
        <v/>
      </c>
      <c r="G11">
        <f>F11-E11</f>
        <v/>
      </c>
      <c r="H11">
        <f>IF(E11&lt;&gt;0,G11/E11,0)</f>
        <v/>
      </c>
    </row>
    <row r="12">
      <c r="A12" t="inlineStr">
        <is>
          <t>EBITDA</t>
        </is>
      </c>
      <c r="B12">
        <f>B7+B8+B9+B10+B11</f>
        <v/>
      </c>
      <c r="C12">
        <f>C7+C8+C9+C10+C11</f>
        <v/>
      </c>
      <c r="D12">
        <f>D7+D8+D9+D10+D11</f>
        <v/>
      </c>
      <c r="E12">
        <f>E7+E8+E9+E10+E11</f>
        <v/>
      </c>
      <c r="F12">
        <f>B12+D12</f>
        <v/>
      </c>
      <c r="G12">
        <f>F12-E12</f>
        <v/>
      </c>
      <c r="H12">
        <f>IF(E12&lt;&gt;0,G12/E12,0)</f>
        <v/>
      </c>
    </row>
    <row r="13">
      <c r="A13" t="inlineStr">
        <is>
          <t>Abschreibungen</t>
        </is>
      </c>
      <c r="B13" t="n">
        <v>-2355</v>
      </c>
      <c r="C13" t="n">
        <v>-2520</v>
      </c>
      <c r="D13" t="n">
        <v>-2436</v>
      </c>
      <c r="E13" t="n">
        <v>-4875</v>
      </c>
      <c r="F13">
        <f>B13+D13</f>
        <v/>
      </c>
      <c r="G13">
        <f>F13-E13</f>
        <v/>
      </c>
      <c r="H13">
        <f>IF(E13&lt;&gt;0,G13/E13,0)</f>
        <v/>
      </c>
    </row>
    <row r="14">
      <c r="A14" t="inlineStr">
        <is>
          <t>EBIT</t>
        </is>
      </c>
      <c r="B14">
        <f>B12+B13</f>
        <v/>
      </c>
      <c r="C14">
        <f>C12+C13</f>
        <v/>
      </c>
      <c r="D14">
        <f>D12+D13</f>
        <v/>
      </c>
      <c r="E14">
        <f>E12+E13</f>
        <v/>
      </c>
      <c r="F14">
        <f>B14+D14</f>
        <v/>
      </c>
      <c r="G14">
        <f>F14-E14</f>
        <v/>
      </c>
      <c r="H14">
        <f>IF(E14&lt;&gt;0,G14/E14,0)</f>
        <v/>
      </c>
    </row>
    <row r="15">
      <c r="A15" t="inlineStr">
        <is>
          <t>Zinsen</t>
        </is>
      </c>
      <c r="B15" t="n">
        <v>-785</v>
      </c>
      <c r="C15" t="n">
        <v>-840</v>
      </c>
      <c r="D15" t="n">
        <v>-812</v>
      </c>
      <c r="E15" t="n">
        <v>-1625</v>
      </c>
      <c r="F15">
        <f>B15+D15</f>
        <v/>
      </c>
      <c r="G15">
        <f>F15-E15</f>
        <v/>
      </c>
      <c r="H15">
        <f>IF(E15&lt;&gt;0,G15/E15,0)</f>
        <v/>
      </c>
    </row>
    <row r="16">
      <c r="A16" t="inlineStr">
        <is>
          <t>EBT</t>
        </is>
      </c>
      <c r="B16">
        <f>B14+B15</f>
        <v/>
      </c>
      <c r="C16">
        <f>C14+C15</f>
        <v/>
      </c>
      <c r="D16">
        <f>D14+D15</f>
        <v/>
      </c>
      <c r="E16">
        <f>E14+E15</f>
        <v/>
      </c>
      <c r="F16">
        <f>B16+D16</f>
        <v/>
      </c>
      <c r="G16">
        <f>F16-E16</f>
        <v/>
      </c>
      <c r="H16">
        <f>IF(E16&lt;&gt;0,G16/E16,0)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2026-01-27T15:43:23Z</dcterms:created>
  <dcterms:modified xmlns:dcterms="http://purl.org/dc/terms/" xmlns:xsi="http://www.w3.org/2001/XMLSchema-instance" xsi:type="dcterms:W3CDTF">2026-01-27T15:43:23Z</dcterms:modified>
</cp:coreProperties>
</file>