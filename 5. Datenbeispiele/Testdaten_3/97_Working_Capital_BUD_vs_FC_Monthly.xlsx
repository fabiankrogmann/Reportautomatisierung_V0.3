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Working Capital Planning - Retail Corp</t>
        </is>
      </c>
    </row>
    <row r="2">
      <c r="A2" t="inlineStr">
        <is>
          <t>FY 2025 | EUR Mio. | BUD vs FC Monthly</t>
        </is>
      </c>
    </row>
    <row r="4">
      <c r="A4" s="2" t="inlineStr">
        <is>
          <t>WC Component</t>
        </is>
      </c>
      <c r="B4" s="2" t="inlineStr">
        <is>
          <t>Jan BUD</t>
        </is>
      </c>
      <c r="C4" s="2" t="inlineStr">
        <is>
          <t>Jan FC</t>
        </is>
      </c>
      <c r="D4" s="2" t="inlineStr">
        <is>
          <t>Feb BUD</t>
        </is>
      </c>
      <c r="E4" s="2" t="inlineStr">
        <is>
          <t>Feb FC</t>
        </is>
      </c>
      <c r="F4" s="2" t="inlineStr">
        <is>
          <t>Mar BUD</t>
        </is>
      </c>
      <c r="G4" s="2" t="inlineStr">
        <is>
          <t>Mar FC</t>
        </is>
      </c>
      <c r="H4" s="2" t="inlineStr">
        <is>
          <t>Apr BUD</t>
        </is>
      </c>
      <c r="I4" s="2" t="inlineStr">
        <is>
          <t>Apr FC</t>
        </is>
      </c>
      <c r="J4" s="2" t="inlineStr">
        <is>
          <t>May BUD</t>
        </is>
      </c>
      <c r="K4" s="2" t="inlineStr">
        <is>
          <t>May FC</t>
        </is>
      </c>
      <c r="L4" s="2" t="inlineStr">
        <is>
          <t>Jun BUD</t>
        </is>
      </c>
      <c r="M4" s="2" t="inlineStr">
        <is>
          <t>Jun FC</t>
        </is>
      </c>
    </row>
    <row r="5">
      <c r="A5" t="inlineStr">
        <is>
          <t>Inventories</t>
        </is>
      </c>
      <c r="B5" t="n">
        <v>28.5</v>
      </c>
      <c r="C5" t="n">
        <v>27.8</v>
      </c>
      <c r="D5" t="n">
        <v>29.2</v>
      </c>
      <c r="E5" t="n">
        <v>28.5</v>
      </c>
      <c r="F5" t="n">
        <v>30.5</v>
      </c>
      <c r="G5" t="n">
        <v>29.8</v>
      </c>
      <c r="H5" t="n">
        <v>26.8</v>
      </c>
      <c r="I5" t="n">
        <v>26.2</v>
      </c>
      <c r="J5" t="n">
        <v>27.5</v>
      </c>
      <c r="K5" t="n">
        <v>26.9</v>
      </c>
      <c r="L5" t="n">
        <v>28.2</v>
      </c>
      <c r="M5" t="n">
        <v>27.5</v>
      </c>
    </row>
    <row r="6">
      <c r="A6" t="inlineStr">
        <is>
          <t>Trade Receivables</t>
        </is>
      </c>
      <c r="B6" t="n">
        <v>42</v>
      </c>
      <c r="C6" t="n">
        <v>41</v>
      </c>
      <c r="D6" t="n">
        <v>43.5</v>
      </c>
      <c r="E6" t="n">
        <v>42.5</v>
      </c>
      <c r="F6" t="n">
        <v>45</v>
      </c>
      <c r="G6" t="n">
        <v>44</v>
      </c>
      <c r="H6" t="n">
        <v>41.5</v>
      </c>
      <c r="I6" t="n">
        <v>40.5</v>
      </c>
      <c r="J6" t="n">
        <v>43</v>
      </c>
      <c r="K6" t="n">
        <v>42</v>
      </c>
      <c r="L6" t="n">
        <v>44.5</v>
      </c>
      <c r="M6" t="n">
        <v>43.5</v>
      </c>
    </row>
    <row r="7">
      <c r="A7" t="inlineStr">
        <is>
          <t>Other Receivables</t>
        </is>
      </c>
      <c r="B7" t="n">
        <v>5.5</v>
      </c>
      <c r="C7" t="n">
        <v>5.4</v>
      </c>
      <c r="D7" t="n">
        <v>5.8</v>
      </c>
      <c r="E7" t="n">
        <v>5.6</v>
      </c>
      <c r="F7" t="n">
        <v>6</v>
      </c>
      <c r="G7" t="n">
        <v>5.8</v>
      </c>
      <c r="H7" t="n">
        <v>5.4</v>
      </c>
      <c r="I7" t="n">
        <v>5.3</v>
      </c>
      <c r="J7" t="n">
        <v>5.6</v>
      </c>
      <c r="K7" t="n">
        <v>5.5</v>
      </c>
      <c r="L7" t="n">
        <v>5.9</v>
      </c>
      <c r="M7" t="n">
        <v>5.7</v>
      </c>
    </row>
    <row r="8">
      <c r="A8" t="inlineStr">
        <is>
          <t>Prepayments</t>
        </is>
      </c>
      <c r="B8" t="n">
        <v>3.2</v>
      </c>
      <c r="C8" t="n">
        <v>3.1</v>
      </c>
      <c r="D8" t="n">
        <v>3.4</v>
      </c>
      <c r="E8" t="n">
        <v>3.3</v>
      </c>
      <c r="F8" t="n">
        <v>3.5</v>
      </c>
      <c r="G8" t="n">
        <v>3.4</v>
      </c>
      <c r="H8" t="n">
        <v>3.1</v>
      </c>
      <c r="I8" t="n">
        <v>3</v>
      </c>
      <c r="J8" t="n">
        <v>3.3</v>
      </c>
      <c r="K8" t="n">
        <v>3.2</v>
      </c>
      <c r="L8" t="n">
        <v>3.4</v>
      </c>
      <c r="M8" t="n">
        <v>3.3</v>
      </c>
    </row>
    <row r="9">
      <c r="A9" t="inlineStr">
        <is>
          <t>Current Assets</t>
        </is>
      </c>
      <c r="B9">
        <f>SUM(B5:B8)</f>
        <v/>
      </c>
      <c r="C9">
        <f>SUM(C5:C8)</f>
        <v/>
      </c>
      <c r="D9">
        <f>SUM(D5:D8)</f>
        <v/>
      </c>
      <c r="E9">
        <f>SUM(E5:E8)</f>
        <v/>
      </c>
      <c r="F9">
        <f>SUM(F5:F8)</f>
        <v/>
      </c>
      <c r="G9">
        <f>SUM(G5:G8)</f>
        <v/>
      </c>
      <c r="H9">
        <f>SUM(H5:H8)</f>
        <v/>
      </c>
      <c r="I9">
        <f>SUM(I5:I8)</f>
        <v/>
      </c>
      <c r="J9">
        <f>SUM(J5:J8)</f>
        <v/>
      </c>
      <c r="K9">
        <f>SUM(K5:K8)</f>
        <v/>
      </c>
      <c r="L9">
        <f>SUM(L5:L8)</f>
        <v/>
      </c>
      <c r="M9">
        <f>SUM(M5:M8)</f>
        <v/>
      </c>
    </row>
    <row r="10">
      <c r="A10" t="inlineStr">
        <is>
          <t>Trade Payables</t>
        </is>
      </c>
      <c r="B10" t="n">
        <v>-32</v>
      </c>
      <c r="C10" t="n">
        <v>-31.2</v>
      </c>
      <c r="D10" t="n">
        <v>-33.5</v>
      </c>
      <c r="E10" t="n">
        <v>-32.7</v>
      </c>
      <c r="F10" t="n">
        <v>-35</v>
      </c>
      <c r="G10" t="n">
        <v>-34.2</v>
      </c>
      <c r="H10" t="n">
        <v>-31.5</v>
      </c>
      <c r="I10" t="n">
        <v>-30.8</v>
      </c>
      <c r="J10" t="n">
        <v>-33</v>
      </c>
      <c r="K10" t="n">
        <v>-32.2</v>
      </c>
      <c r="L10" t="n">
        <v>-34.5</v>
      </c>
      <c r="M10" t="n">
        <v>-33.7</v>
      </c>
    </row>
    <row r="11">
      <c r="A11" t="inlineStr">
        <is>
          <t>Other Payables</t>
        </is>
      </c>
      <c r="B11" t="n">
        <v>-8.5</v>
      </c>
      <c r="C11" t="n">
        <v>-8.300000000000001</v>
      </c>
      <c r="D11" t="n">
        <v>-9</v>
      </c>
      <c r="E11" t="n">
        <v>-8.800000000000001</v>
      </c>
      <c r="F11" t="n">
        <v>-9.199999999999999</v>
      </c>
      <c r="G11" t="n">
        <v>-9</v>
      </c>
      <c r="H11" t="n">
        <v>-8.4</v>
      </c>
      <c r="I11" t="n">
        <v>-8.199999999999999</v>
      </c>
      <c r="J11" t="n">
        <v>-8.800000000000001</v>
      </c>
      <c r="K11" t="n">
        <v>-8.6</v>
      </c>
      <c r="L11" t="n">
        <v>-9.1</v>
      </c>
      <c r="M11" t="n">
        <v>-8.9</v>
      </c>
    </row>
    <row r="12">
      <c r="A12" t="inlineStr">
        <is>
          <t>Accrued Expenses</t>
        </is>
      </c>
      <c r="B12" t="n">
        <v>-6.2</v>
      </c>
      <c r="C12" t="n">
        <v>-6</v>
      </c>
      <c r="D12" t="n">
        <v>-6.5</v>
      </c>
      <c r="E12" t="n">
        <v>-6.3</v>
      </c>
      <c r="F12" t="n">
        <v>-6.8</v>
      </c>
      <c r="G12" t="n">
        <v>-6.6</v>
      </c>
      <c r="H12" t="n">
        <v>-6.1</v>
      </c>
      <c r="I12" t="n">
        <v>-5.9</v>
      </c>
      <c r="J12" t="n">
        <v>-6.4</v>
      </c>
      <c r="K12" t="n">
        <v>-6.2</v>
      </c>
      <c r="L12" t="n">
        <v>-6.7</v>
      </c>
      <c r="M12" t="n">
        <v>-6.5</v>
      </c>
    </row>
    <row r="13">
      <c r="A13" t="inlineStr">
        <is>
          <t>Deferred Revenue</t>
        </is>
      </c>
      <c r="B13" t="n">
        <v>-4.5</v>
      </c>
      <c r="C13" t="n">
        <v>-4.4</v>
      </c>
      <c r="D13" t="n">
        <v>-4.8</v>
      </c>
      <c r="E13" t="n">
        <v>-4.7</v>
      </c>
      <c r="F13" t="n">
        <v>-5</v>
      </c>
      <c r="G13" t="n">
        <v>-4.9</v>
      </c>
      <c r="H13" t="n">
        <v>-4.4</v>
      </c>
      <c r="I13" t="n">
        <v>-4.3</v>
      </c>
      <c r="J13" t="n">
        <v>-4.7</v>
      </c>
      <c r="K13" t="n">
        <v>-4.6</v>
      </c>
      <c r="L13" t="n">
        <v>-4.9</v>
      </c>
      <c r="M13" t="n">
        <v>-4.8</v>
      </c>
    </row>
    <row r="14">
      <c r="A14" t="inlineStr">
        <is>
          <t>Current Liabilities</t>
        </is>
      </c>
      <c r="B14">
        <f>SUM(B10:B13)</f>
        <v/>
      </c>
      <c r="C14">
        <f>SUM(C10:C13)</f>
        <v/>
      </c>
      <c r="D14">
        <f>SUM(D10:D13)</f>
        <v/>
      </c>
      <c r="E14">
        <f>SUM(E10:E13)</f>
        <v/>
      </c>
      <c r="F14">
        <f>SUM(F10:F13)</f>
        <v/>
      </c>
      <c r="G14">
        <f>SUM(G10:G13)</f>
        <v/>
      </c>
      <c r="H14">
        <f>SUM(H10:H13)</f>
        <v/>
      </c>
      <c r="I14">
        <f>SUM(I10:I13)</f>
        <v/>
      </c>
      <c r="J14">
        <f>SUM(J10:J13)</f>
        <v/>
      </c>
      <c r="K14">
        <f>SUM(K10:K13)</f>
        <v/>
      </c>
      <c r="L14">
        <f>SUM(L10:L13)</f>
        <v/>
      </c>
      <c r="M14">
        <f>SUM(M10:M13)</f>
        <v/>
      </c>
    </row>
    <row r="15">
      <c r="A15" t="inlineStr">
        <is>
          <t>Net Working Capital</t>
        </is>
      </c>
      <c r="B15">
        <f>B9+B14</f>
        <v/>
      </c>
      <c r="C15">
        <f>C9+C14</f>
        <v/>
      </c>
      <c r="D15">
        <f>D9+D14</f>
        <v/>
      </c>
      <c r="E15">
        <f>E9+E14</f>
        <v/>
      </c>
      <c r="F15">
        <f>F9+F14</f>
        <v/>
      </c>
      <c r="G15">
        <f>G9+G14</f>
        <v/>
      </c>
      <c r="H15">
        <f>H9+H14</f>
        <v/>
      </c>
      <c r="I15">
        <f>I9+I14</f>
        <v/>
      </c>
      <c r="J15">
        <f>J9+J14</f>
        <v/>
      </c>
      <c r="K15">
        <f>K9+K14</f>
        <v/>
      </c>
      <c r="L15">
        <f>L9+L14</f>
        <v/>
      </c>
      <c r="M15">
        <f>M9+M14</f>
        <v/>
      </c>
    </row>
    <row r="16">
      <c r="A16" t="inlineStr">
        <is>
          <t>NWC as % Revenue</t>
        </is>
      </c>
      <c r="B16">
        <f>B15/45</f>
        <v/>
      </c>
      <c r="C16">
        <f>C15/45</f>
        <v/>
      </c>
      <c r="D16">
        <f>D15/45</f>
        <v/>
      </c>
      <c r="E16">
        <f>E15/45</f>
        <v/>
      </c>
      <c r="F16">
        <f>F15/45</f>
        <v/>
      </c>
      <c r="G16">
        <f>G15/45</f>
        <v/>
      </c>
      <c r="H16">
        <f>H15/45</f>
        <v/>
      </c>
      <c r="I16">
        <f>I15/45</f>
        <v/>
      </c>
      <c r="J16">
        <f>J15/45</f>
        <v/>
      </c>
      <c r="K16">
        <f>K15/45</f>
        <v/>
      </c>
      <c r="L16">
        <f>L15/45</f>
        <v/>
      </c>
      <c r="M16">
        <f>M15/45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2026-01-27T15:50:06Z</dcterms:created>
  <dcterms:modified xmlns:dcterms="http://purl.org/dc/terms/" xmlns:xsi="http://www.w3.org/2001/XMLSchema-instance" xsi:type="dcterms:W3CDTF">2026-01-27T15:50:06Z</dcterms:modified>
</cp:coreProperties>
</file>