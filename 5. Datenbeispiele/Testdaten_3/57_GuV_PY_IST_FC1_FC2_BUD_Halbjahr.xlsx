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H2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GuV Halbjahresvergleich - Pharma GmbH</t>
        </is>
      </c>
    </row>
    <row r="2">
      <c r="A2" t="inlineStr">
        <is>
          <t>FY 2025 | EUR Mio. | Multi-Szenario H1/H2</t>
        </is>
      </c>
    </row>
    <row r="4">
      <c r="A4" s="2" t="inlineStr">
        <is>
          <t>Position</t>
        </is>
      </c>
      <c r="B4" s="2" t="inlineStr">
        <is>
          <t>H1 PY IST</t>
        </is>
      </c>
      <c r="C4" s="2" t="inlineStr">
        <is>
          <t>H1 FC1</t>
        </is>
      </c>
      <c r="D4" s="2" t="inlineStr">
        <is>
          <t>H1 FC2</t>
        </is>
      </c>
      <c r="E4" s="2" t="inlineStr">
        <is>
          <t>H1 BUD</t>
        </is>
      </c>
      <c r="F4" s="2" t="inlineStr">
        <is>
          <t>H2 PY IST</t>
        </is>
      </c>
      <c r="G4" s="2" t="inlineStr">
        <is>
          <t>H2 FC1</t>
        </is>
      </c>
      <c r="H4" s="2" t="inlineStr">
        <is>
          <t>H2 FC2</t>
        </is>
      </c>
      <c r="I4" s="2" t="inlineStr">
        <is>
          <t>H2 BUD</t>
        </is>
      </c>
      <c r="J4" s="2" t="inlineStr">
        <is>
          <t>FY PY IST</t>
        </is>
      </c>
      <c r="K4" s="2" t="inlineStr">
        <is>
          <t>FY FC1</t>
        </is>
      </c>
      <c r="L4" s="2" t="inlineStr">
        <is>
          <t>FY FC2</t>
        </is>
      </c>
      <c r="M4" s="2" t="inlineStr">
        <is>
          <t>FY BUD</t>
        </is>
      </c>
    </row>
    <row r="5">
      <c r="A5" t="inlineStr">
        <is>
          <t>Umsatz</t>
        </is>
      </c>
      <c r="B5" t="n">
        <v>285</v>
      </c>
      <c r="C5" t="n">
        <v>305.3</v>
      </c>
      <c r="D5" t="n">
        <v>308.4</v>
      </c>
      <c r="E5" t="n">
        <v>313.5</v>
      </c>
      <c r="F5" t="n">
        <v>315</v>
      </c>
      <c r="G5" t="n">
        <v>337.1</v>
      </c>
      <c r="H5" t="n">
        <v>340.5</v>
      </c>
      <c r="I5" t="n">
        <v>346.5</v>
      </c>
      <c r="J5">
        <f>B5+F5</f>
        <v/>
      </c>
      <c r="K5">
        <f>C5+G5</f>
        <v/>
      </c>
      <c r="L5">
        <f>D5+H5</f>
        <v/>
      </c>
      <c r="M5">
        <f>E5+I5</f>
        <v/>
      </c>
    </row>
    <row r="6">
      <c r="A6" t="inlineStr">
        <is>
          <t>Herstellkosten</t>
        </is>
      </c>
      <c r="B6" t="n">
        <v>-142.5</v>
      </c>
      <c r="C6" t="n">
        <v>-149.1</v>
      </c>
      <c r="D6" t="n">
        <v>-150.7</v>
      </c>
      <c r="E6" t="n">
        <v>-153.2</v>
      </c>
      <c r="F6" t="n">
        <v>-157.5</v>
      </c>
      <c r="G6" t="n">
        <v>-164.7</v>
      </c>
      <c r="H6" t="n">
        <v>-166.4</v>
      </c>
      <c r="I6" t="n">
        <v>-169.2</v>
      </c>
      <c r="J6">
        <f>B6+F6</f>
        <v/>
      </c>
      <c r="K6">
        <f>C6+G6</f>
        <v/>
      </c>
      <c r="L6">
        <f>D6+H6</f>
        <v/>
      </c>
      <c r="M6">
        <f>E6+I6</f>
        <v/>
      </c>
    </row>
    <row r="7">
      <c r="A7" t="inlineStr">
        <is>
          <t>Bruttoergebnis</t>
        </is>
      </c>
      <c r="B7">
        <f>B5+B6</f>
        <v/>
      </c>
      <c r="C7">
        <f>C5+C6</f>
        <v/>
      </c>
      <c r="D7">
        <f>D5+D6</f>
        <v/>
      </c>
      <c r="E7">
        <f>E5+E6</f>
        <v/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B7+F7</f>
        <v/>
      </c>
      <c r="K7">
        <f>C7+G7</f>
        <v/>
      </c>
      <c r="L7">
        <f>D7+H7</f>
        <v/>
      </c>
      <c r="M7">
        <f>E7+I7</f>
        <v/>
      </c>
    </row>
    <row r="8">
      <c r="A8" t="inlineStr">
        <is>
          <t>F&amp;E Kosten</t>
        </is>
      </c>
      <c r="B8" t="n">
        <v>-42.8</v>
      </c>
      <c r="C8" t="n">
        <v>-45.8</v>
      </c>
      <c r="D8" t="n">
        <v>-46.3</v>
      </c>
      <c r="E8" t="n">
        <v>-47</v>
      </c>
      <c r="F8" t="n">
        <v>-47.3</v>
      </c>
      <c r="G8" t="n">
        <v>-50.6</v>
      </c>
      <c r="H8" t="n">
        <v>-51.1</v>
      </c>
      <c r="I8" t="n">
        <v>-52</v>
      </c>
      <c r="J8">
        <f>B8+F8</f>
        <v/>
      </c>
      <c r="K8">
        <f>C8+G8</f>
        <v/>
      </c>
      <c r="L8">
        <f>D8+H8</f>
        <v/>
      </c>
      <c r="M8">
        <f>E8+I8</f>
        <v/>
      </c>
    </row>
    <row r="9">
      <c r="A9" t="inlineStr">
        <is>
          <t>Vertrieb/Marketing</t>
        </is>
      </c>
      <c r="B9" t="n">
        <v>-34.2</v>
      </c>
      <c r="C9" t="n">
        <v>-36.6</v>
      </c>
      <c r="D9" t="n">
        <v>-37</v>
      </c>
      <c r="E9" t="n">
        <v>-37.6</v>
      </c>
      <c r="F9" t="n">
        <v>-37.8</v>
      </c>
      <c r="G9" t="n">
        <v>-40.5</v>
      </c>
      <c r="H9" t="n">
        <v>-40.9</v>
      </c>
      <c r="I9" t="n">
        <v>-41.6</v>
      </c>
      <c r="J9">
        <f>B9+F9</f>
        <v/>
      </c>
      <c r="K9">
        <f>C9+G9</f>
        <v/>
      </c>
      <c r="L9">
        <f>D9+H9</f>
        <v/>
      </c>
      <c r="M9">
        <f>E9+I9</f>
        <v/>
      </c>
    </row>
    <row r="10">
      <c r="A10" t="inlineStr">
        <is>
          <t>Verwaltung</t>
        </is>
      </c>
      <c r="B10" t="n">
        <v>-22.8</v>
      </c>
      <c r="C10" t="n">
        <v>-24.4</v>
      </c>
      <c r="D10" t="n">
        <v>-24.7</v>
      </c>
      <c r="E10" t="n">
        <v>-25.1</v>
      </c>
      <c r="F10" t="n">
        <v>-25.2</v>
      </c>
      <c r="G10" t="n">
        <v>-27</v>
      </c>
      <c r="H10" t="n">
        <v>-27.2</v>
      </c>
      <c r="I10" t="n">
        <v>-27.7</v>
      </c>
      <c r="J10">
        <f>B10+F10</f>
        <v/>
      </c>
      <c r="K10">
        <f>C10+G10</f>
        <v/>
      </c>
      <c r="L10">
        <f>D10+H10</f>
        <v/>
      </c>
      <c r="M10">
        <f>E10+I10</f>
        <v/>
      </c>
    </row>
    <row r="11">
      <c r="A11" t="inlineStr">
        <is>
          <t>Sonstige Erträge</t>
        </is>
      </c>
      <c r="B11" t="n">
        <v>5.7</v>
      </c>
      <c r="C11" t="n">
        <v>6.1</v>
      </c>
      <c r="D11" t="n">
        <v>6.2</v>
      </c>
      <c r="E11" t="n">
        <v>6.3</v>
      </c>
      <c r="F11" t="n">
        <v>6.3</v>
      </c>
      <c r="G11" t="n">
        <v>6.7</v>
      </c>
      <c r="H11" t="n">
        <v>6.8</v>
      </c>
      <c r="I11" t="n">
        <v>6.9</v>
      </c>
      <c r="J11">
        <f>B11+F11</f>
        <v/>
      </c>
      <c r="K11">
        <f>C11+G11</f>
        <v/>
      </c>
      <c r="L11">
        <f>D11+H11</f>
        <v/>
      </c>
      <c r="M11">
        <f>E11+I11</f>
        <v/>
      </c>
    </row>
    <row r="12">
      <c r="A12" t="inlineStr">
        <is>
          <t>EBITDA</t>
        </is>
      </c>
      <c r="B12">
        <f>B7+B8+B9+B10+B11</f>
        <v/>
      </c>
      <c r="C12">
        <f>C7+C8+C9+C10+C11</f>
        <v/>
      </c>
      <c r="D12">
        <f>D7+D8+D9+D10+D11</f>
        <v/>
      </c>
      <c r="E12">
        <f>E7+E8+E9+E10+E11</f>
        <v/>
      </c>
      <c r="F12">
        <f>F7+F8+F9+F10+F11</f>
        <v/>
      </c>
      <c r="G12">
        <f>G7+G8+G9+G10+G11</f>
        <v/>
      </c>
      <c r="H12">
        <f>H7+H8+H9+H10+H11</f>
        <v/>
      </c>
      <c r="I12">
        <f>I7+I8+I9+I10+I11</f>
        <v/>
      </c>
      <c r="J12">
        <f>B12+F12</f>
        <v/>
      </c>
      <c r="K12">
        <f>C12+G12</f>
        <v/>
      </c>
      <c r="L12">
        <f>D12+H12</f>
        <v/>
      </c>
      <c r="M12">
        <f>E12+I12</f>
        <v/>
      </c>
    </row>
    <row r="13">
      <c r="A13" t="inlineStr">
        <is>
          <t>Abschreibungen</t>
        </is>
      </c>
      <c r="B13" t="n">
        <v>-17.1</v>
      </c>
      <c r="C13" t="n">
        <v>-18.3</v>
      </c>
      <c r="D13" t="n">
        <v>-18.5</v>
      </c>
      <c r="E13" t="n">
        <v>-18.8</v>
      </c>
      <c r="F13" t="n">
        <v>-18.9</v>
      </c>
      <c r="G13" t="n">
        <v>-20.2</v>
      </c>
      <c r="H13" t="n">
        <v>-20.4</v>
      </c>
      <c r="I13" t="n">
        <v>-20.8</v>
      </c>
      <c r="J13">
        <f>B13+F13</f>
        <v/>
      </c>
      <c r="K13">
        <f>C13+G13</f>
        <v/>
      </c>
      <c r="L13">
        <f>D13+H13</f>
        <v/>
      </c>
      <c r="M13">
        <f>E13+I13</f>
        <v/>
      </c>
    </row>
    <row r="14">
      <c r="A14" t="inlineStr">
        <is>
          <t>EBIT</t>
        </is>
      </c>
      <c r="B14">
        <f>B12+B13</f>
        <v/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B14+F14</f>
        <v/>
      </c>
      <c r="K14">
        <f>C14+G14</f>
        <v/>
      </c>
      <c r="L14">
        <f>D14+H14</f>
        <v/>
      </c>
      <c r="M14">
        <f>E14+I14</f>
        <v/>
      </c>
    </row>
    <row r="15">
      <c r="A15" t="inlineStr">
        <is>
          <t>Finanzergebnis</t>
        </is>
      </c>
      <c r="B15" t="n">
        <v>-5.7</v>
      </c>
      <c r="C15" t="n">
        <v>-6.1</v>
      </c>
      <c r="D15" t="n">
        <v>-6.2</v>
      </c>
      <c r="E15" t="n">
        <v>-6.3</v>
      </c>
      <c r="F15" t="n">
        <v>-6.3</v>
      </c>
      <c r="G15" t="n">
        <v>-6.7</v>
      </c>
      <c r="H15" t="n">
        <v>-6.8</v>
      </c>
      <c r="I15" t="n">
        <v>-6.9</v>
      </c>
      <c r="J15">
        <f>B15+F15</f>
        <v/>
      </c>
      <c r="K15">
        <f>C15+G15</f>
        <v/>
      </c>
      <c r="L15">
        <f>D15+H15</f>
        <v/>
      </c>
      <c r="M15">
        <f>E15+I15</f>
        <v/>
      </c>
    </row>
    <row r="16">
      <c r="A16" t="inlineStr">
        <is>
          <t>EBT</t>
        </is>
      </c>
      <c r="B16">
        <f>B14+B15</f>
        <v/>
      </c>
      <c r="C16">
        <f>C14+C15</f>
        <v/>
      </c>
      <c r="D16">
        <f>D14+D15</f>
        <v/>
      </c>
      <c r="E16">
        <f>E14+E15</f>
        <v/>
      </c>
      <c r="F16">
        <f>F14+F15</f>
        <v/>
      </c>
      <c r="G16">
        <f>G14+G15</f>
        <v/>
      </c>
      <c r="H16">
        <f>H14+H15</f>
        <v/>
      </c>
      <c r="I16">
        <f>I14+I15</f>
        <v/>
      </c>
      <c r="J16">
        <f>B16+F16</f>
        <v/>
      </c>
      <c r="K16">
        <f>C16+G16</f>
        <v/>
      </c>
      <c r="L16">
        <f>D16+H16</f>
        <v/>
      </c>
      <c r="M16">
        <f>E16+I16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2026-01-27T15:41:24Z</dcterms:created>
  <dcterms:modified xmlns:dcterms="http://purl.org/dc/terms/" xmlns:xsi="http://www.w3.org/2001/XMLSchema-instance" xsi:type="dcterms:W3CDTF">2026-01-27T15:41:24Z</dcterms:modified>
</cp:coreProperties>
</file>