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ary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Salary Budget Analysis - Consulting Firm</t>
        </is>
      </c>
    </row>
    <row r="2">
      <c r="A2" t="inlineStr">
        <is>
          <t>FY 2025 | EUR thousands | By Grade Level</t>
        </is>
      </c>
    </row>
    <row r="4">
      <c r="A4" s="2" t="inlineStr">
        <is>
          <t>Grade Level</t>
        </is>
      </c>
      <c r="B4" s="2" t="inlineStr">
        <is>
          <t>Headcount BUD</t>
        </is>
      </c>
      <c r="C4" s="2" t="inlineStr">
        <is>
          <t>Headcount FC</t>
        </is>
      </c>
      <c r="D4" s="2" t="inlineStr">
        <is>
          <t>Headcount Act</t>
        </is>
      </c>
      <c r="E4" s="2" t="inlineStr">
        <is>
          <t>Avg Salary BUD</t>
        </is>
      </c>
      <c r="F4" s="2" t="inlineStr">
        <is>
          <t>Avg Salary FC</t>
        </is>
      </c>
      <c r="G4" s="2" t="inlineStr">
        <is>
          <t>Avg Salary Act</t>
        </is>
      </c>
      <c r="H4" s="2" t="inlineStr">
        <is>
          <t>Total Cost BUD</t>
        </is>
      </c>
      <c r="I4" s="2" t="inlineStr">
        <is>
          <t>Total Cost FC</t>
        </is>
      </c>
      <c r="J4" s="2" t="inlineStr">
        <is>
          <t>Total Cost Act</t>
        </is>
      </c>
      <c r="K4" s="2" t="inlineStr">
        <is>
          <t>Variance</t>
        </is>
      </c>
    </row>
    <row r="5">
      <c r="A5" t="inlineStr">
        <is>
          <t>Partner</t>
        </is>
      </c>
      <c r="B5" t="n">
        <v>12</v>
      </c>
      <c r="C5" t="n">
        <v>11</v>
      </c>
      <c r="D5" t="n">
        <v>11</v>
      </c>
      <c r="E5" t="n">
        <v>280</v>
      </c>
      <c r="F5" t="n">
        <v>285</v>
      </c>
      <c r="G5" t="n">
        <v>290</v>
      </c>
      <c r="H5">
        <f>B5*E5</f>
        <v/>
      </c>
      <c r="I5">
        <f>C5*F5</f>
        <v/>
      </c>
      <c r="J5">
        <f>D5*G5</f>
        <v/>
      </c>
      <c r="K5">
        <f>J5-H5</f>
        <v/>
      </c>
    </row>
    <row r="6">
      <c r="A6" t="inlineStr">
        <is>
          <t>Director</t>
        </is>
      </c>
      <c r="B6" t="n">
        <v>28</v>
      </c>
      <c r="C6" t="n">
        <v>27</v>
      </c>
      <c r="D6" t="n">
        <v>26</v>
      </c>
      <c r="E6" t="n">
        <v>180</v>
      </c>
      <c r="F6" t="n">
        <v>183</v>
      </c>
      <c r="G6" t="n">
        <v>185</v>
      </c>
      <c r="H6">
        <f>B6*E6</f>
        <v/>
      </c>
      <c r="I6">
        <f>C6*F6</f>
        <v/>
      </c>
      <c r="J6">
        <f>D6*G6</f>
        <v/>
      </c>
      <c r="K6">
        <f>J6-H6</f>
        <v/>
      </c>
    </row>
    <row r="7">
      <c r="A7" t="inlineStr">
        <is>
          <t>Senior Manager</t>
        </is>
      </c>
      <c r="B7" t="n">
        <v>45</v>
      </c>
      <c r="C7" t="n">
        <v>44</v>
      </c>
      <c r="D7" t="n">
        <v>43</v>
      </c>
      <c r="E7" t="n">
        <v>125</v>
      </c>
      <c r="F7" t="n">
        <v>127</v>
      </c>
      <c r="G7" t="n">
        <v>128</v>
      </c>
      <c r="H7">
        <f>B7*E7</f>
        <v/>
      </c>
      <c r="I7">
        <f>C7*F7</f>
        <v/>
      </c>
      <c r="J7">
        <f>D7*G7</f>
        <v/>
      </c>
      <c r="K7">
        <f>J7-H7</f>
        <v/>
      </c>
    </row>
    <row r="8">
      <c r="A8" t="inlineStr">
        <is>
          <t>Manager</t>
        </is>
      </c>
      <c r="B8" t="n">
        <v>68</v>
      </c>
      <c r="C8" t="n">
        <v>66</v>
      </c>
      <c r="D8" t="n">
        <v>65</v>
      </c>
      <c r="E8" t="n">
        <v>95</v>
      </c>
      <c r="F8" t="n">
        <v>96</v>
      </c>
      <c r="G8" t="n">
        <v>97</v>
      </c>
      <c r="H8">
        <f>B8*E8</f>
        <v/>
      </c>
      <c r="I8">
        <f>C8*F8</f>
        <v/>
      </c>
      <c r="J8">
        <f>D8*G8</f>
        <v/>
      </c>
      <c r="K8">
        <f>J8-H8</f>
        <v/>
      </c>
    </row>
    <row r="9">
      <c r="A9" t="inlineStr">
        <is>
          <t>Senior Consultant</t>
        </is>
      </c>
      <c r="B9" t="n">
        <v>92</v>
      </c>
      <c r="C9" t="n">
        <v>90</v>
      </c>
      <c r="D9" t="n">
        <v>88</v>
      </c>
      <c r="E9" t="n">
        <v>72</v>
      </c>
      <c r="F9" t="n">
        <v>73</v>
      </c>
      <c r="G9" t="n">
        <v>74</v>
      </c>
      <c r="H9">
        <f>B9*E9</f>
        <v/>
      </c>
      <c r="I9">
        <f>C9*F9</f>
        <v/>
      </c>
      <c r="J9">
        <f>D9*G9</f>
        <v/>
      </c>
      <c r="K9">
        <f>J9-H9</f>
        <v/>
      </c>
    </row>
    <row r="10">
      <c r="A10" t="inlineStr">
        <is>
          <t>Consultant</t>
        </is>
      </c>
      <c r="B10" t="n">
        <v>85</v>
      </c>
      <c r="C10" t="n">
        <v>83</v>
      </c>
      <c r="D10" t="n">
        <v>82</v>
      </c>
      <c r="E10" t="n">
        <v>55</v>
      </c>
      <c r="F10" t="n">
        <v>56</v>
      </c>
      <c r="G10" t="n">
        <v>57</v>
      </c>
      <c r="H10">
        <f>B10*E10</f>
        <v/>
      </c>
      <c r="I10">
        <f>C10*F10</f>
        <v/>
      </c>
      <c r="J10">
        <f>D10*G10</f>
        <v/>
      </c>
      <c r="K10">
        <f>J10-H10</f>
        <v/>
      </c>
    </row>
    <row r="11">
      <c r="A11" t="inlineStr">
        <is>
          <t>Analyst</t>
        </is>
      </c>
      <c r="B11" t="n">
        <v>55</v>
      </c>
      <c r="C11" t="n">
        <v>54</v>
      </c>
      <c r="D11" t="n">
        <v>53</v>
      </c>
      <c r="E11" t="n">
        <v>42</v>
      </c>
      <c r="F11" t="n">
        <v>43</v>
      </c>
      <c r="G11" t="n">
        <v>44</v>
      </c>
      <c r="H11">
        <f>B11*E11</f>
        <v/>
      </c>
      <c r="I11">
        <f>C11*F11</f>
        <v/>
      </c>
      <c r="J11">
        <f>D11*G11</f>
        <v/>
      </c>
      <c r="K11">
        <f>J11-H11</f>
        <v/>
      </c>
    </row>
    <row r="12">
      <c r="A12" t="inlineStr">
        <is>
          <t>Support Staff</t>
        </is>
      </c>
      <c r="B12" t="n">
        <v>35</v>
      </c>
      <c r="C12" t="n">
        <v>34</v>
      </c>
      <c r="D12" t="n">
        <v>34</v>
      </c>
      <c r="E12" t="n">
        <v>38</v>
      </c>
      <c r="F12" t="n">
        <v>39</v>
      </c>
      <c r="G12" t="n">
        <v>39</v>
      </c>
      <c r="H12">
        <f>B12*E12</f>
        <v/>
      </c>
      <c r="I12">
        <f>C12*F12</f>
        <v/>
      </c>
      <c r="J12">
        <f>D12*G12</f>
        <v/>
      </c>
      <c r="K12">
        <f>J12-H12</f>
        <v/>
      </c>
    </row>
    <row r="13">
      <c r="A13" t="inlineStr">
        <is>
          <t>Total</t>
        </is>
      </c>
      <c r="B13">
        <f>SUM(B5:B12)</f>
        <v/>
      </c>
      <c r="C13">
        <f>SUM(C5:C12)</f>
        <v/>
      </c>
      <c r="D13">
        <f>SUM(D5:D12)</f>
        <v/>
      </c>
      <c r="H13">
        <f>SUM(H5:H12)</f>
        <v/>
      </c>
      <c r="I13">
        <f>SUM(I5:I12)</f>
        <v/>
      </c>
      <c r="J13">
        <f>SUM(J5:J12)</f>
        <v/>
      </c>
      <c r="K13">
        <f>J13-H13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2026-01-27T15:50:06Z</dcterms:created>
  <dcterms:modified xmlns:dcterms="http://purl.org/dc/terms/" xmlns:xsi="http://www.w3.org/2001/XMLSchema-instance" xsi:type="dcterms:W3CDTF">2026-01-27T15:50:06Z</dcterms:modified>
</cp:coreProperties>
</file>