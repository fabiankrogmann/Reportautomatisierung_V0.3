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 Direct 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Cashflow Statement - Consulting Partners GmbH</t>
        </is>
      </c>
    </row>
    <row r="2">
      <c r="A2" t="inlineStr">
        <is>
          <t>FY 2025 | TEUR | 3 Forecast Versions</t>
        </is>
      </c>
    </row>
    <row r="4">
      <c r="A4" s="2" t="inlineStr">
        <is>
          <t>Position</t>
        </is>
      </c>
      <c r="B4" s="2" t="inlineStr">
        <is>
          <t>FC1 Sept</t>
        </is>
      </c>
      <c r="C4" s="2" t="inlineStr">
        <is>
          <t>FC2 Nov</t>
        </is>
      </c>
      <c r="D4" s="2" t="inlineStr">
        <is>
          <t>FC3 Final</t>
        </is>
      </c>
      <c r="E4" s="2" t="inlineStr">
        <is>
          <t>Δ FC3 vs FC1</t>
        </is>
      </c>
    </row>
    <row r="5">
      <c r="A5" s="3" t="inlineStr">
        <is>
          <t>INDIRECT METHOD</t>
        </is>
      </c>
    </row>
    <row r="6">
      <c r="A6" t="inlineStr">
        <is>
          <t>Net Income</t>
        </is>
      </c>
      <c r="B6" t="n">
        <v>4250</v>
      </c>
      <c r="C6" t="n">
        <v>4420</v>
      </c>
      <c r="D6" t="n">
        <v>4550</v>
      </c>
      <c r="E6">
        <f>D6-B6</f>
        <v/>
      </c>
    </row>
    <row r="7">
      <c r="A7" t="inlineStr">
        <is>
          <t>Depreciation</t>
        </is>
      </c>
      <c r="B7" t="n">
        <v>1850</v>
      </c>
      <c r="C7" t="n">
        <v>1924</v>
      </c>
      <c r="D7" t="n">
        <v>1980</v>
      </c>
      <c r="E7">
        <f>D7-B7</f>
        <v/>
      </c>
    </row>
    <row r="8">
      <c r="A8" t="inlineStr">
        <is>
          <t>Change in Receivables</t>
        </is>
      </c>
      <c r="B8" t="n">
        <v>-1200</v>
      </c>
      <c r="C8" t="n">
        <v>-1248</v>
      </c>
      <c r="D8" t="n">
        <v>-1285</v>
      </c>
      <c r="E8">
        <f>D8-B8</f>
        <v/>
      </c>
    </row>
    <row r="9">
      <c r="A9" t="inlineStr">
        <is>
          <t>Change in Payables</t>
        </is>
      </c>
      <c r="B9" t="n">
        <v>680</v>
      </c>
      <c r="C9" t="n">
        <v>707</v>
      </c>
      <c r="D9" t="n">
        <v>728</v>
      </c>
      <c r="E9">
        <f>D9-B9</f>
        <v/>
      </c>
    </row>
    <row r="10">
      <c r="A10" t="inlineStr">
        <is>
          <t>Change in Accruals</t>
        </is>
      </c>
      <c r="B10" t="n">
        <v>320</v>
      </c>
      <c r="C10" t="n">
        <v>333</v>
      </c>
      <c r="D10" t="n">
        <v>343</v>
      </c>
      <c r="E10">
        <f>D10-B10</f>
        <v/>
      </c>
    </row>
    <row r="11">
      <c r="A11" t="inlineStr">
        <is>
          <t>Operating CF (Indirect)</t>
        </is>
      </c>
      <c r="B11">
        <f>SUM(B6:B10)</f>
        <v/>
      </c>
      <c r="C11">
        <f>SUM(C6:C10)</f>
        <v/>
      </c>
      <c r="D11">
        <f>SUM(D6:D10)</f>
        <v/>
      </c>
      <c r="E11">
        <f>D11-B11</f>
        <v/>
      </c>
    </row>
    <row r="12">
      <c r="A12" t="inlineStr"/>
    </row>
    <row r="13">
      <c r="A13" s="3" t="inlineStr">
        <is>
          <t>DIRECT METHOD</t>
        </is>
      </c>
    </row>
    <row r="14">
      <c r="A14" t="inlineStr">
        <is>
          <t>Cash from Customers</t>
        </is>
      </c>
      <c r="B14" t="n">
        <v>28500</v>
      </c>
      <c r="C14" t="n">
        <v>29640</v>
      </c>
      <c r="D14" t="n">
        <v>30520</v>
      </c>
      <c r="E14">
        <f>D14-B14</f>
        <v/>
      </c>
    </row>
    <row r="15">
      <c r="A15" t="inlineStr">
        <is>
          <t>Cash to Suppliers</t>
        </is>
      </c>
      <c r="B15" t="n">
        <v>-12000</v>
      </c>
      <c r="C15" t="n">
        <v>-12480</v>
      </c>
      <c r="D15" t="n">
        <v>-12855</v>
      </c>
      <c r="E15">
        <f>D15-B15</f>
        <v/>
      </c>
    </row>
    <row r="16">
      <c r="A16" t="inlineStr">
        <is>
          <t>Cash to Employees</t>
        </is>
      </c>
      <c r="B16" t="n">
        <v>-9500</v>
      </c>
      <c r="C16" t="n">
        <v>-9880</v>
      </c>
      <c r="D16" t="n">
        <v>-10175</v>
      </c>
      <c r="E16">
        <f>D16-B16</f>
        <v/>
      </c>
    </row>
    <row r="17">
      <c r="A17" t="inlineStr">
        <is>
          <t>Cash for Other OpEx</t>
        </is>
      </c>
      <c r="B17" t="n">
        <v>-1100</v>
      </c>
      <c r="C17" t="n">
        <v>-1144</v>
      </c>
      <c r="D17" t="n">
        <v>-1178</v>
      </c>
      <c r="E17">
        <f>D17-B17</f>
        <v/>
      </c>
    </row>
    <row r="18">
      <c r="A18" t="inlineStr">
        <is>
          <t>Operating CF (Direct)</t>
        </is>
      </c>
      <c r="B18">
        <f>SUM(B14:B17)</f>
        <v/>
      </c>
      <c r="C18">
        <f>SUM(C14:C17)</f>
        <v/>
      </c>
      <c r="D18">
        <f>SUM(D14:D17)</f>
        <v/>
      </c>
      <c r="E18">
        <f>D18-B18</f>
        <v/>
      </c>
    </row>
    <row r="19">
      <c r="A19" t="inlineStr"/>
    </row>
    <row r="20">
      <c r="A20" t="inlineStr">
        <is>
          <t>Reconciliation Check</t>
        </is>
      </c>
      <c r="B20">
        <f>B11-B18</f>
        <v/>
      </c>
      <c r="C20">
        <f>C11-C18</f>
        <v/>
      </c>
      <c r="D20">
        <f>D11-D18</f>
        <v/>
      </c>
      <c r="E20">
        <f>D20-B20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2026-01-27T15:45:35Z</dcterms:created>
  <dcterms:modified xmlns:dcterms="http://purl.org/dc/terms/" xmlns:xsi="http://www.w3.org/2001/XMLSchema-instance" xsi:type="dcterms:W3CDTF">2026-01-27T15:45:35Z</dcterms:modified>
</cp:coreProperties>
</file>