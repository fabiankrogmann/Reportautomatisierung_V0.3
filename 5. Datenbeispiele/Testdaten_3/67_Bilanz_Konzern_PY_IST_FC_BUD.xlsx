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Konzernbilanz - Industrial Holding AG</t>
        </is>
      </c>
    </row>
    <row r="2">
      <c r="A2" t="inlineStr">
        <is>
          <t>31.12.2025 | EUR Mio. | Consolidation</t>
        </is>
      </c>
    </row>
    <row r="4">
      <c r="A4" s="2" t="inlineStr">
        <is>
          <t>Position</t>
        </is>
      </c>
      <c r="B4" s="2" t="inlineStr">
        <is>
          <t>PY 2024 IST</t>
        </is>
      </c>
      <c r="C4" s="2" t="inlineStr">
        <is>
          <t>CY 2025 FC</t>
        </is>
      </c>
      <c r="D4" s="2" t="inlineStr">
        <is>
          <t>CY 2025 BUD</t>
        </is>
      </c>
      <c r="E4" s="2" t="inlineStr">
        <is>
          <t>Δ FC vs PY</t>
        </is>
      </c>
      <c r="F4" s="2" t="inlineStr">
        <is>
          <t>Δ FC vs BUD</t>
        </is>
      </c>
    </row>
    <row r="5">
      <c r="A5" s="3" t="inlineStr">
        <is>
          <t>AKTIVA</t>
        </is>
      </c>
    </row>
    <row r="6">
      <c r="A6" t="inlineStr">
        <is>
          <t>Immaterielle Vermögenswerte</t>
        </is>
      </c>
      <c r="B6" t="n">
        <v>125</v>
      </c>
      <c r="C6" t="n">
        <v>132.5</v>
      </c>
      <c r="D6" t="n">
        <v>135</v>
      </c>
      <c r="E6">
        <f>C6-B6</f>
        <v/>
      </c>
      <c r="F6">
        <f>C6-D6</f>
        <v/>
      </c>
    </row>
    <row r="7">
      <c r="A7" t="inlineStr">
        <is>
          <t>Sachanlagen</t>
        </is>
      </c>
      <c r="B7" t="n">
        <v>380</v>
      </c>
      <c r="C7" t="n">
        <v>402.8</v>
      </c>
      <c r="D7" t="n">
        <v>410</v>
      </c>
      <c r="E7">
        <f>C7-B7</f>
        <v/>
      </c>
      <c r="F7">
        <f>C7-D7</f>
        <v/>
      </c>
    </row>
    <row r="8">
      <c r="A8" t="inlineStr">
        <is>
          <t>Finanzanlagen</t>
        </is>
      </c>
      <c r="B8" t="n">
        <v>45</v>
      </c>
      <c r="C8" t="n">
        <v>47.7</v>
      </c>
      <c r="D8" t="n">
        <v>48.5</v>
      </c>
      <c r="E8">
        <f>C8-B8</f>
        <v/>
      </c>
      <c r="F8">
        <f>C8-D8</f>
        <v/>
      </c>
    </row>
    <row r="9">
      <c r="A9" t="inlineStr">
        <is>
          <t>Langfristiges Vermögen</t>
        </is>
      </c>
      <c r="B9">
        <f>B6+B7+B8</f>
        <v/>
      </c>
      <c r="C9">
        <f>C6+C7+C8</f>
        <v/>
      </c>
      <c r="D9">
        <f>D6+D7+D8</f>
        <v/>
      </c>
      <c r="E9">
        <f>C9-B9</f>
        <v/>
      </c>
      <c r="F9">
        <f>C9-D9</f>
        <v/>
      </c>
    </row>
    <row r="10">
      <c r="A10" t="inlineStr">
        <is>
          <t>Vorräte</t>
        </is>
      </c>
      <c r="B10" t="n">
        <v>95</v>
      </c>
      <c r="C10" t="n">
        <v>100.7</v>
      </c>
      <c r="D10" t="n">
        <v>102.5</v>
      </c>
      <c r="E10">
        <f>C10-B10</f>
        <v/>
      </c>
      <c r="F10">
        <f>C10-D10</f>
        <v/>
      </c>
    </row>
    <row r="11">
      <c r="A11" t="inlineStr">
        <is>
          <t>Forderungen</t>
        </is>
      </c>
      <c r="B11" t="n">
        <v>142</v>
      </c>
      <c r="C11" t="n">
        <v>150.5</v>
      </c>
      <c r="D11" t="n">
        <v>153.2</v>
      </c>
      <c r="E11">
        <f>C11-B11</f>
        <v/>
      </c>
      <c r="F11">
        <f>C11-D11</f>
        <v/>
      </c>
    </row>
    <row r="12">
      <c r="A12" t="inlineStr">
        <is>
          <t>Zahlungsmittel</t>
        </is>
      </c>
      <c r="B12" t="n">
        <v>63</v>
      </c>
      <c r="C12" t="n">
        <v>66.8</v>
      </c>
      <c r="D12" t="n">
        <v>68</v>
      </c>
      <c r="E12">
        <f>C12-B12</f>
        <v/>
      </c>
      <c r="F12">
        <f>C12-D12</f>
        <v/>
      </c>
    </row>
    <row r="13">
      <c r="A13" t="inlineStr">
        <is>
          <t>Kurzfristiges Vermögen</t>
        </is>
      </c>
      <c r="B13">
        <f>B10+B11+B12</f>
        <v/>
      </c>
      <c r="C13">
        <f>C10+C11+C12</f>
        <v/>
      </c>
      <c r="D13">
        <f>D10+D11+D12</f>
        <v/>
      </c>
      <c r="E13">
        <f>C13-B13</f>
        <v/>
      </c>
      <c r="F13">
        <f>C13-D13</f>
        <v/>
      </c>
    </row>
    <row r="14">
      <c r="A14" t="inlineStr">
        <is>
          <t>Bilanzsumme</t>
        </is>
      </c>
      <c r="B14">
        <f>B9+B13</f>
        <v/>
      </c>
      <c r="C14">
        <f>C9+C13</f>
        <v/>
      </c>
      <c r="D14">
        <f>D9+D13</f>
        <v/>
      </c>
      <c r="E14">
        <f>C14-B14</f>
        <v/>
      </c>
      <c r="F14">
        <f>C14-D14</f>
        <v/>
      </c>
    </row>
    <row r="15">
      <c r="A15" s="3" t="inlineStr"/>
    </row>
    <row r="16">
      <c r="A16" s="3" t="inlineStr">
        <is>
          <t>PASSIVA</t>
        </is>
      </c>
    </row>
    <row r="17">
      <c r="A17" t="inlineStr">
        <is>
          <t>Gezeichnetes Kapital</t>
        </is>
      </c>
      <c r="B17" t="n">
        <v>200</v>
      </c>
      <c r="C17" t="n">
        <v>200</v>
      </c>
      <c r="D17" t="n">
        <v>200</v>
      </c>
      <c r="E17">
        <f>C17-B17</f>
        <v/>
      </c>
      <c r="F17">
        <f>C17-D17</f>
        <v/>
      </c>
    </row>
    <row r="18">
      <c r="A18" t="inlineStr">
        <is>
          <t>Kapitalrücklage</t>
        </is>
      </c>
      <c r="B18" t="n">
        <v>85</v>
      </c>
      <c r="C18" t="n">
        <v>85</v>
      </c>
      <c r="D18" t="n">
        <v>85</v>
      </c>
      <c r="E18">
        <f>C18-B18</f>
        <v/>
      </c>
      <c r="F18">
        <f>C18-D18</f>
        <v/>
      </c>
    </row>
    <row r="19">
      <c r="A19" t="inlineStr">
        <is>
          <t>Gewinnrücklagen</t>
        </is>
      </c>
      <c r="B19" t="n">
        <v>180</v>
      </c>
      <c r="C19" t="n">
        <v>198</v>
      </c>
      <c r="D19" t="n">
        <v>205</v>
      </c>
      <c r="E19">
        <f>C19-B19</f>
        <v/>
      </c>
      <c r="F19">
        <f>C19-D19</f>
        <v/>
      </c>
    </row>
    <row r="20">
      <c r="A20" t="inlineStr">
        <is>
          <t>Eigenkapital</t>
        </is>
      </c>
      <c r="B20">
        <f>B17+B18+B19</f>
        <v/>
      </c>
      <c r="C20">
        <f>C17+C18+C19</f>
        <v/>
      </c>
      <c r="D20">
        <f>D17+D18+D19</f>
        <v/>
      </c>
      <c r="E20">
        <f>C20-B20</f>
        <v/>
      </c>
      <c r="F20">
        <f>C20-D20</f>
        <v/>
      </c>
    </row>
    <row r="21">
      <c r="A21" t="inlineStr">
        <is>
          <t>Langfr. Finanzverbindl.</t>
        </is>
      </c>
      <c r="B21" t="n">
        <v>185</v>
      </c>
      <c r="C21" t="n">
        <v>196.1</v>
      </c>
      <c r="D21" t="n">
        <v>199.5</v>
      </c>
      <c r="E21">
        <f>C21-B21</f>
        <v/>
      </c>
      <c r="F21">
        <f>C21-D21</f>
        <v/>
      </c>
    </row>
    <row r="22">
      <c r="A22" t="inlineStr">
        <is>
          <t>Pensionsrückstellungen</t>
        </is>
      </c>
      <c r="B22" t="n">
        <v>55</v>
      </c>
      <c r="C22" t="n">
        <v>58.3</v>
      </c>
      <c r="D22" t="n">
        <v>59.3</v>
      </c>
      <c r="E22">
        <f>C22-B22</f>
        <v/>
      </c>
      <c r="F22">
        <f>C22-D22</f>
        <v/>
      </c>
    </row>
    <row r="23">
      <c r="A23" t="inlineStr">
        <is>
          <t>Kurzfr. Verbindlichkeiten</t>
        </is>
      </c>
      <c r="B23" t="n">
        <v>145</v>
      </c>
      <c r="C23" t="n">
        <v>153.7</v>
      </c>
      <c r="D23" t="n">
        <v>156.4</v>
      </c>
      <c r="E23">
        <f>C23-B23</f>
        <v/>
      </c>
      <c r="F23">
        <f>C23-D23</f>
        <v/>
      </c>
    </row>
    <row r="24">
      <c r="A24" t="inlineStr">
        <is>
          <t>Fremdkapital</t>
        </is>
      </c>
      <c r="B24">
        <f>B21+B22+B23</f>
        <v/>
      </c>
      <c r="C24">
        <f>C21+C22+C23</f>
        <v/>
      </c>
      <c r="D24">
        <f>D21+D22+D23</f>
        <v/>
      </c>
      <c r="E24">
        <f>C24-B24</f>
        <v/>
      </c>
      <c r="F24">
        <f>C24-D24</f>
        <v/>
      </c>
    </row>
    <row r="25">
      <c r="A25" t="inlineStr">
        <is>
          <t>Bilanzsumme</t>
        </is>
      </c>
      <c r="B25">
        <f>B20+B24</f>
        <v/>
      </c>
      <c r="C25">
        <f>C20+C24</f>
        <v/>
      </c>
      <c r="D25">
        <f>D20+D24</f>
        <v/>
      </c>
      <c r="E25">
        <f>C25-B25</f>
        <v/>
      </c>
      <c r="F25">
        <f>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2026-01-27T15:43:23Z</dcterms:created>
  <dcterms:modified xmlns:dcterms="http://purl.org/dc/terms/" xmlns:xsi="http://www.w3.org/2001/XMLSchema-instance" xsi:type="dcterms:W3CDTF">2026-01-27T15:43:23Z</dcterms:modified>
</cp:coreProperties>
</file>