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Q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Bilanz Quartalsvergleich - Maschinenbau AG</t>
        </is>
      </c>
    </row>
    <row r="2">
      <c r="A2" t="inlineStr">
        <is>
          <t>2024 vs 2025 IST | TEUR</t>
        </is>
      </c>
    </row>
    <row r="4">
      <c r="A4" s="2" t="inlineStr">
        <is>
          <t>Position</t>
        </is>
      </c>
      <c r="B4" s="2" t="inlineStr">
        <is>
          <t>Q1 2024</t>
        </is>
      </c>
      <c r="C4" s="2" t="inlineStr">
        <is>
          <t>Q1 2025</t>
        </is>
      </c>
      <c r="D4" s="2" t="inlineStr">
        <is>
          <t>Δ</t>
        </is>
      </c>
      <c r="E4" s="2" t="inlineStr">
        <is>
          <t>Q2 2024</t>
        </is>
      </c>
      <c r="F4" s="2" t="inlineStr">
        <is>
          <t>Q2 2025</t>
        </is>
      </c>
      <c r="G4" s="2" t="inlineStr">
        <is>
          <t>Δ</t>
        </is>
      </c>
      <c r="H4" s="2" t="inlineStr">
        <is>
          <t>Q3 2024</t>
        </is>
      </c>
      <c r="I4" s="2" t="inlineStr">
        <is>
          <t>Q3 2025</t>
        </is>
      </c>
      <c r="J4" s="2" t="inlineStr">
        <is>
          <t>Δ</t>
        </is>
      </c>
      <c r="K4" s="2" t="inlineStr">
        <is>
          <t>Q4 2024</t>
        </is>
      </c>
      <c r="L4" s="2" t="inlineStr">
        <is>
          <t>Q4 2025</t>
        </is>
      </c>
      <c r="M4" s="2" t="inlineStr">
        <is>
          <t>Δ</t>
        </is>
      </c>
    </row>
    <row r="5">
      <c r="A5" s="3" t="inlineStr">
        <is>
          <t>AKTIVA</t>
        </is>
      </c>
    </row>
    <row r="6">
      <c r="A6" t="inlineStr">
        <is>
          <t>Anlagevermögen</t>
        </is>
      </c>
      <c r="B6" t="n">
        <v>45000</v>
      </c>
      <c r="C6" t="n">
        <v>47250</v>
      </c>
      <c r="D6">
        <f>C6-B6</f>
        <v/>
      </c>
      <c r="E6" t="n">
        <v>46000</v>
      </c>
      <c r="F6" t="n">
        <v>48300</v>
      </c>
      <c r="G6">
        <f>F6-E6</f>
        <v/>
      </c>
      <c r="H6" t="n">
        <v>47000</v>
      </c>
      <c r="I6" t="n">
        <v>49350</v>
      </c>
      <c r="J6">
        <f>I6-H6</f>
        <v/>
      </c>
      <c r="K6" t="n">
        <v>48000</v>
      </c>
      <c r="L6" t="n">
        <v>50400</v>
      </c>
      <c r="M6">
        <f>L6-K6</f>
        <v/>
      </c>
    </row>
    <row r="7">
      <c r="A7" t="inlineStr">
        <is>
          <t xml:space="preserve">  Sachanlagen</t>
        </is>
      </c>
      <c r="B7" t="n">
        <v>32000</v>
      </c>
      <c r="C7" t="n">
        <v>33600</v>
      </c>
      <c r="D7">
        <f>C7-B7</f>
        <v/>
      </c>
      <c r="E7" t="n">
        <v>32800</v>
      </c>
      <c r="F7" t="n">
        <v>34440</v>
      </c>
      <c r="G7">
        <f>F7-E7</f>
        <v/>
      </c>
      <c r="H7" t="n">
        <v>33600</v>
      </c>
      <c r="I7" t="n">
        <v>35280</v>
      </c>
      <c r="J7">
        <f>I7-H7</f>
        <v/>
      </c>
      <c r="K7" t="n">
        <v>34400</v>
      </c>
      <c r="L7" t="n">
        <v>36120</v>
      </c>
      <c r="M7">
        <f>L7-K7</f>
        <v/>
      </c>
    </row>
    <row r="8">
      <c r="A8" t="inlineStr">
        <is>
          <t xml:space="preserve">  Imm. Vermögen</t>
        </is>
      </c>
      <c r="B8" t="n">
        <v>8000</v>
      </c>
      <c r="C8" t="n">
        <v>8400</v>
      </c>
      <c r="D8">
        <f>C8-B8</f>
        <v/>
      </c>
      <c r="E8" t="n">
        <v>8200</v>
      </c>
      <c r="F8" t="n">
        <v>8610</v>
      </c>
      <c r="G8">
        <f>F8-E8</f>
        <v/>
      </c>
      <c r="H8" t="n">
        <v>8400</v>
      </c>
      <c r="I8" t="n">
        <v>8820</v>
      </c>
      <c r="J8">
        <f>I8-H8</f>
        <v/>
      </c>
      <c r="K8" t="n">
        <v>8600</v>
      </c>
      <c r="L8" t="n">
        <v>9030</v>
      </c>
      <c r="M8">
        <f>L8-K8</f>
        <v/>
      </c>
    </row>
    <row r="9">
      <c r="A9" t="inlineStr">
        <is>
          <t xml:space="preserve">  Finanzanlagen</t>
        </is>
      </c>
      <c r="B9" t="n">
        <v>5000</v>
      </c>
      <c r="C9" t="n">
        <v>5250</v>
      </c>
      <c r="D9">
        <f>C9-B9</f>
        <v/>
      </c>
      <c r="E9" t="n">
        <v>5000</v>
      </c>
      <c r="F9" t="n">
        <v>5250</v>
      </c>
      <c r="G9">
        <f>F9-E9</f>
        <v/>
      </c>
      <c r="H9" t="n">
        <v>5000</v>
      </c>
      <c r="I9" t="n">
        <v>5250</v>
      </c>
      <c r="J9">
        <f>I9-H9</f>
        <v/>
      </c>
      <c r="K9" t="n">
        <v>5000</v>
      </c>
      <c r="L9" t="n">
        <v>5250</v>
      </c>
      <c r="M9">
        <f>L9-K9</f>
        <v/>
      </c>
    </row>
    <row r="10">
      <c r="A10" t="inlineStr">
        <is>
          <t>Umlaufvermögen</t>
        </is>
      </c>
      <c r="B10" t="n">
        <v>35000</v>
      </c>
      <c r="C10" t="n">
        <v>36750</v>
      </c>
      <c r="D10">
        <f>C10-B10</f>
        <v/>
      </c>
      <c r="E10" t="n">
        <v>36500</v>
      </c>
      <c r="F10" t="n">
        <v>38325</v>
      </c>
      <c r="G10">
        <f>F10-E10</f>
        <v/>
      </c>
      <c r="H10" t="n">
        <v>38000</v>
      </c>
      <c r="I10" t="n">
        <v>39900</v>
      </c>
      <c r="J10">
        <f>I10-H10</f>
        <v/>
      </c>
      <c r="K10" t="n">
        <v>39500</v>
      </c>
      <c r="L10" t="n">
        <v>41475</v>
      </c>
      <c r="M10">
        <f>L10-K10</f>
        <v/>
      </c>
    </row>
    <row r="11">
      <c r="A11" t="inlineStr">
        <is>
          <t xml:space="preserve">  Vorräte</t>
        </is>
      </c>
      <c r="B11" t="n">
        <v>12000</v>
      </c>
      <c r="C11" t="n">
        <v>12600</v>
      </c>
      <c r="D11">
        <f>C11-B11</f>
        <v/>
      </c>
      <c r="E11" t="n">
        <v>12500</v>
      </c>
      <c r="F11" t="n">
        <v>13125</v>
      </c>
      <c r="G11">
        <f>F11-E11</f>
        <v/>
      </c>
      <c r="H11" t="n">
        <v>13000</v>
      </c>
      <c r="I11" t="n">
        <v>13650</v>
      </c>
      <c r="J11">
        <f>I11-H11</f>
        <v/>
      </c>
      <c r="K11" t="n">
        <v>13500</v>
      </c>
      <c r="L11" t="n">
        <v>14175</v>
      </c>
      <c r="M11">
        <f>L11-K11</f>
        <v/>
      </c>
    </row>
    <row r="12">
      <c r="A12" t="inlineStr">
        <is>
          <t xml:space="preserve">  Forderungen</t>
        </is>
      </c>
      <c r="B12" t="n">
        <v>18000</v>
      </c>
      <c r="C12" t="n">
        <v>18900</v>
      </c>
      <c r="D12">
        <f>C12-B12</f>
        <v/>
      </c>
      <c r="E12" t="n">
        <v>19000</v>
      </c>
      <c r="F12" t="n">
        <v>19950</v>
      </c>
      <c r="G12">
        <f>F12-E12</f>
        <v/>
      </c>
      <c r="H12" t="n">
        <v>20000</v>
      </c>
      <c r="I12" t="n">
        <v>21000</v>
      </c>
      <c r="J12">
        <f>I12-H12</f>
        <v/>
      </c>
      <c r="K12" t="n">
        <v>21000</v>
      </c>
      <c r="L12" t="n">
        <v>22050</v>
      </c>
      <c r="M12">
        <f>L12-K12</f>
        <v/>
      </c>
    </row>
    <row r="13">
      <c r="A13" t="inlineStr">
        <is>
          <t xml:space="preserve">  Liquide Mittel</t>
        </is>
      </c>
      <c r="B13" t="n">
        <v>5000</v>
      </c>
      <c r="C13" t="n">
        <v>5250</v>
      </c>
      <c r="D13">
        <f>C13-B13</f>
        <v/>
      </c>
      <c r="E13" t="n">
        <v>5000</v>
      </c>
      <c r="F13" t="n">
        <v>5250</v>
      </c>
      <c r="G13">
        <f>F13-E13</f>
        <v/>
      </c>
      <c r="H13" t="n">
        <v>5000</v>
      </c>
      <c r="I13" t="n">
        <v>5250</v>
      </c>
      <c r="J13">
        <f>I13-H13</f>
        <v/>
      </c>
      <c r="K13" t="n">
        <v>5000</v>
      </c>
      <c r="L13" t="n">
        <v>5250</v>
      </c>
      <c r="M13">
        <f>L13-K13</f>
        <v/>
      </c>
    </row>
    <row r="14">
      <c r="A14" t="inlineStr">
        <is>
          <t>Summe Aktiva</t>
        </is>
      </c>
      <c r="B14">
        <f>B6+B10</f>
        <v/>
      </c>
      <c r="C14">
        <f>C6+C10</f>
        <v/>
      </c>
      <c r="D14">
        <f>C14-B14</f>
        <v/>
      </c>
      <c r="E14">
        <f>E6+E10</f>
        <v/>
      </c>
      <c r="F14">
        <f>F6+F10</f>
        <v/>
      </c>
      <c r="G14">
        <f>F14-E14</f>
        <v/>
      </c>
      <c r="H14">
        <f>H6+H10</f>
        <v/>
      </c>
      <c r="I14">
        <f>I6+I10</f>
        <v/>
      </c>
      <c r="J14">
        <f>I14-H14</f>
        <v/>
      </c>
      <c r="K14">
        <f>K6+K10</f>
        <v/>
      </c>
      <c r="L14">
        <f>L6+L10</f>
        <v/>
      </c>
      <c r="M14">
        <f>L14-K14</f>
        <v/>
      </c>
    </row>
    <row r="15">
      <c r="A15" s="3" t="inlineStr"/>
    </row>
    <row r="16">
      <c r="A16" s="3" t="inlineStr">
        <is>
          <t>PASSIVA</t>
        </is>
      </c>
    </row>
    <row r="17">
      <c r="A17" t="inlineStr">
        <is>
          <t>Eigenkapital</t>
        </is>
      </c>
      <c r="B17" t="n">
        <v>40000</v>
      </c>
      <c r="C17" t="n">
        <v>42000</v>
      </c>
      <c r="D17">
        <f>C17-B17</f>
        <v/>
      </c>
      <c r="E17" t="n">
        <v>41500</v>
      </c>
      <c r="F17" t="n">
        <v>43575</v>
      </c>
      <c r="G17">
        <f>F17-E17</f>
        <v/>
      </c>
      <c r="H17" t="n">
        <v>43000</v>
      </c>
      <c r="I17" t="n">
        <v>45150</v>
      </c>
      <c r="J17">
        <f>I17-H17</f>
        <v/>
      </c>
      <c r="K17" t="n">
        <v>44500</v>
      </c>
      <c r="L17" t="n">
        <v>46725</v>
      </c>
      <c r="M17">
        <f>L17-K17</f>
        <v/>
      </c>
    </row>
    <row r="18">
      <c r="A18" t="inlineStr">
        <is>
          <t>Langfr. Verbindl.</t>
        </is>
      </c>
      <c r="B18" t="n">
        <v>25000</v>
      </c>
      <c r="C18" t="n">
        <v>26250</v>
      </c>
      <c r="D18">
        <f>C18-B18</f>
        <v/>
      </c>
      <c r="E18" t="n">
        <v>25500</v>
      </c>
      <c r="F18" t="n">
        <v>26775</v>
      </c>
      <c r="G18">
        <f>F18-E18</f>
        <v/>
      </c>
      <c r="H18" t="n">
        <v>26000</v>
      </c>
      <c r="I18" t="n">
        <v>27300</v>
      </c>
      <c r="J18">
        <f>I18-H18</f>
        <v/>
      </c>
      <c r="K18" t="n">
        <v>26500</v>
      </c>
      <c r="L18" t="n">
        <v>27825</v>
      </c>
      <c r="M18">
        <f>L18-K18</f>
        <v/>
      </c>
    </row>
    <row r="19">
      <c r="A19" t="inlineStr">
        <is>
          <t>Kurzfr. Verbindl.</t>
        </is>
      </c>
      <c r="B19" t="n">
        <v>15000</v>
      </c>
      <c r="C19" t="n">
        <v>15750</v>
      </c>
      <c r="D19">
        <f>C19-B19</f>
        <v/>
      </c>
      <c r="E19" t="n">
        <v>15500</v>
      </c>
      <c r="F19" t="n">
        <v>16275</v>
      </c>
      <c r="G19">
        <f>F19-E19</f>
        <v/>
      </c>
      <c r="H19" t="n">
        <v>16000</v>
      </c>
      <c r="I19" t="n">
        <v>16800</v>
      </c>
      <c r="J19">
        <f>I19-H19</f>
        <v/>
      </c>
      <c r="K19" t="n">
        <v>16500</v>
      </c>
      <c r="L19" t="n">
        <v>17325</v>
      </c>
      <c r="M19">
        <f>L19-K19</f>
        <v/>
      </c>
    </row>
    <row r="20">
      <c r="A20" t="inlineStr">
        <is>
          <t>Summe Passiva</t>
        </is>
      </c>
      <c r="B20">
        <f>B17+B18+B19</f>
        <v/>
      </c>
      <c r="C20">
        <f>C17+C18+C19</f>
        <v/>
      </c>
      <c r="D20">
        <f>C20-B20</f>
        <v/>
      </c>
      <c r="E20">
        <f>E17+E18+E19</f>
        <v/>
      </c>
      <c r="F20">
        <f>F17+F18+F19</f>
        <v/>
      </c>
      <c r="G20">
        <f>F20-E20</f>
        <v/>
      </c>
      <c r="H20">
        <f>H17+H18+H19</f>
        <v/>
      </c>
      <c r="I20">
        <f>I17+I18+I19</f>
        <v/>
      </c>
      <c r="J20">
        <f>I20-H20</f>
        <v/>
      </c>
      <c r="K20">
        <f>K17+K18+K19</f>
        <v/>
      </c>
      <c r="L20">
        <f>L17+L18+L19</f>
        <v/>
      </c>
      <c r="M20">
        <f>L20-K20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2026-01-27T15:43:23Z</dcterms:created>
  <dcterms:modified xmlns:dcterms="http://purl.org/dc/terms/" xmlns:xsi="http://www.w3.org/2001/XMLSchema-instance" xsi:type="dcterms:W3CDTF">2026-01-27T15:43:23Z</dcterms:modified>
</cp:coreProperties>
</file>