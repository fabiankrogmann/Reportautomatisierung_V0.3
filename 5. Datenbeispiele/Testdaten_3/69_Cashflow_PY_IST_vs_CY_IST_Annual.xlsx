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CF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Kapitalflussrechnung - Energy Solutions SE</t>
        </is>
      </c>
    </row>
    <row r="2">
      <c r="A2" t="inlineStr">
        <is>
          <t>Annual IST Comparison | EUR Mio.</t>
        </is>
      </c>
    </row>
    <row r="4">
      <c r="A4" s="2" t="inlineStr">
        <is>
          <t>Position</t>
        </is>
      </c>
      <c r="B4" s="2" t="inlineStr">
        <is>
          <t>2023 IST</t>
        </is>
      </c>
      <c r="C4" s="2" t="inlineStr">
        <is>
          <t>2024 IST</t>
        </is>
      </c>
      <c r="D4" s="2" t="inlineStr">
        <is>
          <t>2025 IST</t>
        </is>
      </c>
      <c r="E4" s="2" t="inlineStr">
        <is>
          <t>Δ 24 vs 23</t>
        </is>
      </c>
      <c r="F4" s="2" t="inlineStr">
        <is>
          <t>Δ 25 vs 24</t>
        </is>
      </c>
      <c r="G4" s="2" t="inlineStr">
        <is>
          <t>CAGR</t>
        </is>
      </c>
    </row>
    <row r="5">
      <c r="A5" s="3" t="inlineStr">
        <is>
          <t>Operativer Cashflow</t>
        </is>
      </c>
    </row>
    <row r="6">
      <c r="A6" t="inlineStr">
        <is>
          <t>Jahresüberschuss</t>
        </is>
      </c>
      <c r="B6" t="n">
        <v>42.5</v>
      </c>
      <c r="C6" t="n">
        <v>46.8</v>
      </c>
      <c r="D6" t="n">
        <v>51.5</v>
      </c>
      <c r="E6">
        <f>C6-B6</f>
        <v/>
      </c>
      <c r="F6">
        <f>D6-C6</f>
        <v/>
      </c>
      <c r="G6">
        <f>IF(B6&gt;0,(D6/B6)^(1/2)-1,0)</f>
        <v/>
      </c>
    </row>
    <row r="7">
      <c r="A7" t="inlineStr">
        <is>
          <t>Abschreibungen</t>
        </is>
      </c>
      <c r="B7" t="n">
        <v>28</v>
      </c>
      <c r="C7" t="n">
        <v>30.8</v>
      </c>
      <c r="D7" t="n">
        <v>33.9</v>
      </c>
      <c r="E7">
        <f>C7-B7</f>
        <v/>
      </c>
      <c r="F7">
        <f>D7-C7</f>
        <v/>
      </c>
      <c r="G7">
        <f>IF(B7&gt;0,(D7/B7)^(1/2)-1,0)</f>
        <v/>
      </c>
    </row>
    <row r="8">
      <c r="A8" t="inlineStr">
        <is>
          <t>Veränderung Rückstellungen</t>
        </is>
      </c>
      <c r="B8" t="n">
        <v>3.2</v>
      </c>
      <c r="C8" t="n">
        <v>3.5</v>
      </c>
      <c r="D8" t="n">
        <v>3.9</v>
      </c>
      <c r="E8">
        <f>C8-B8</f>
        <v/>
      </c>
      <c r="F8">
        <f>D8-C8</f>
        <v/>
      </c>
      <c r="G8">
        <f>IF(B8&gt;0,(D8/B8)^(1/2)-1,0)</f>
        <v/>
      </c>
    </row>
    <row r="9">
      <c r="A9" t="inlineStr">
        <is>
          <t>Veränderung Working Capital</t>
        </is>
      </c>
      <c r="B9" t="n">
        <v>-8.5</v>
      </c>
      <c r="C9" t="n">
        <v>-9.4</v>
      </c>
      <c r="D9" t="n">
        <v>-10.3</v>
      </c>
      <c r="E9">
        <f>C9-B9</f>
        <v/>
      </c>
      <c r="F9">
        <f>D9-C9</f>
        <v/>
      </c>
      <c r="G9">
        <f>IF(B9&gt;0,(D9/B9)^(1/2)-1,0)</f>
        <v/>
      </c>
    </row>
    <row r="10">
      <c r="A10" t="inlineStr">
        <is>
          <t>Sonstige nicht zahlungswirksam</t>
        </is>
      </c>
      <c r="B10" t="n">
        <v>2.8</v>
      </c>
      <c r="C10" t="n">
        <v>3.1</v>
      </c>
      <c r="D10" t="n">
        <v>3.4</v>
      </c>
      <c r="E10">
        <f>C10-B10</f>
        <v/>
      </c>
      <c r="F10">
        <f>D10-C10</f>
        <v/>
      </c>
      <c r="G10">
        <f>IF(B10&gt;0,(D10/B10)^(1/2)-1,0)</f>
        <v/>
      </c>
    </row>
    <row r="11">
      <c r="A11" t="inlineStr">
        <is>
          <t>CF aus operativer Tätigkeit</t>
        </is>
      </c>
      <c r="B11">
        <f>SUM(B6:B10)</f>
        <v/>
      </c>
      <c r="C11">
        <f>SUM(C6:C10)</f>
        <v/>
      </c>
      <c r="D11">
        <f>SUM(D6:D10)</f>
        <v/>
      </c>
      <c r="E11">
        <f>C11-B11</f>
        <v/>
      </c>
      <c r="F11">
        <f>D11-C11</f>
        <v/>
      </c>
    </row>
    <row r="12">
      <c r="A12" t="inlineStr"/>
    </row>
    <row r="13">
      <c r="A13" s="3" t="inlineStr">
        <is>
          <t>Investiver Cashflow</t>
        </is>
      </c>
    </row>
    <row r="14">
      <c r="A14" t="inlineStr">
        <is>
          <t>Investitionen Sachanlagen</t>
        </is>
      </c>
      <c r="B14" t="n">
        <v>-35</v>
      </c>
      <c r="C14" t="n">
        <v>-38.5</v>
      </c>
      <c r="D14" t="n">
        <v>-42.4</v>
      </c>
      <c r="E14">
        <f>C14-B14</f>
        <v/>
      </c>
      <c r="F14">
        <f>D14-C14</f>
        <v/>
      </c>
      <c r="G14">
        <f>IF(B14&gt;0,(D14/B14)^(1/2)-1,0)</f>
        <v/>
      </c>
    </row>
    <row r="15">
      <c r="A15" t="inlineStr">
        <is>
          <t>Investitionen imm. Vermögen</t>
        </is>
      </c>
      <c r="B15" t="n">
        <v>-8</v>
      </c>
      <c r="C15" t="n">
        <v>-8.800000000000001</v>
      </c>
      <c r="D15" t="n">
        <v>-9.699999999999999</v>
      </c>
      <c r="E15">
        <f>C15-B15</f>
        <v/>
      </c>
      <c r="F15">
        <f>D15-C15</f>
        <v/>
      </c>
      <c r="G15">
        <f>IF(B15&gt;0,(D15/B15)^(1/2)-1,0)</f>
        <v/>
      </c>
    </row>
    <row r="16">
      <c r="A16" t="inlineStr">
        <is>
          <t>Erlöse aus Anlagenverkauf</t>
        </is>
      </c>
      <c r="B16" t="n">
        <v>2.5</v>
      </c>
      <c r="C16" t="n">
        <v>2.8</v>
      </c>
      <c r="D16" t="n">
        <v>3</v>
      </c>
      <c r="E16">
        <f>C16-B16</f>
        <v/>
      </c>
      <c r="F16">
        <f>D16-C16</f>
        <v/>
      </c>
      <c r="G16">
        <f>IF(B16&gt;0,(D16/B16)^(1/2)-1,0)</f>
        <v/>
      </c>
    </row>
    <row r="17">
      <c r="A17" t="inlineStr">
        <is>
          <t>CF aus Investitionstätigkeit</t>
        </is>
      </c>
      <c r="B17">
        <f>SUM(B14:B16)</f>
        <v/>
      </c>
      <c r="C17">
        <f>SUM(C14:C16)</f>
        <v/>
      </c>
      <c r="D17">
        <f>SUM(D14:D16)</f>
        <v/>
      </c>
      <c r="E17">
        <f>C17-B17</f>
        <v/>
      </c>
      <c r="F17">
        <f>D17-C17</f>
        <v/>
      </c>
    </row>
    <row r="18">
      <c r="A18" t="inlineStr"/>
    </row>
    <row r="19">
      <c r="A19" s="3" t="inlineStr">
        <is>
          <t>Finanzierungs-Cashflow</t>
        </is>
      </c>
    </row>
    <row r="20">
      <c r="A20" t="inlineStr">
        <is>
          <t>Aufnahme Finanzverbindl.</t>
        </is>
      </c>
      <c r="B20" t="n">
        <v>15</v>
      </c>
      <c r="C20" t="n">
        <v>16.5</v>
      </c>
      <c r="D20" t="n">
        <v>18.2</v>
      </c>
      <c r="E20">
        <f>C20-B20</f>
        <v/>
      </c>
      <c r="F20">
        <f>D20-C20</f>
        <v/>
      </c>
      <c r="G20">
        <f>IF(B20&gt;0,(D20/B20)^(1/2)-1,0)</f>
        <v/>
      </c>
    </row>
    <row r="21">
      <c r="A21" t="inlineStr">
        <is>
          <t>Tilgung Finanzverbindl.</t>
        </is>
      </c>
      <c r="B21" t="n">
        <v>-12</v>
      </c>
      <c r="C21" t="n">
        <v>-13.2</v>
      </c>
      <c r="D21" t="n">
        <v>-14.5</v>
      </c>
      <c r="E21">
        <f>C21-B21</f>
        <v/>
      </c>
      <c r="F21">
        <f>D21-C21</f>
        <v/>
      </c>
      <c r="G21">
        <f>IF(B21&gt;0,(D21/B21)^(1/2)-1,0)</f>
        <v/>
      </c>
    </row>
    <row r="22">
      <c r="A22" t="inlineStr">
        <is>
          <t>Dividenden</t>
        </is>
      </c>
      <c r="B22" t="n">
        <v>-18</v>
      </c>
      <c r="C22" t="n">
        <v>-19.8</v>
      </c>
      <c r="D22" t="n">
        <v>-21.8</v>
      </c>
      <c r="E22">
        <f>C22-B22</f>
        <v/>
      </c>
      <c r="F22">
        <f>D22-C22</f>
        <v/>
      </c>
      <c r="G22">
        <f>IF(B22&gt;0,(D22/B22)^(1/2)-1,0)</f>
        <v/>
      </c>
    </row>
    <row r="23">
      <c r="A23" t="inlineStr">
        <is>
          <t>CF aus Finanzierungstätig.</t>
        </is>
      </c>
      <c r="B23">
        <f>SUM(B20:B22)</f>
        <v/>
      </c>
      <c r="C23">
        <f>SUM(C20:C22)</f>
        <v/>
      </c>
      <c r="D23">
        <f>SUM(D20:D22)</f>
        <v/>
      </c>
      <c r="E23">
        <f>C23-B23</f>
        <v/>
      </c>
      <c r="F23">
        <f>D23-C23</f>
        <v/>
      </c>
    </row>
    <row r="24">
      <c r="A24" t="inlineStr"/>
    </row>
    <row r="25">
      <c r="A25" t="inlineStr">
        <is>
          <t>Zahlungsmittelveränderung</t>
        </is>
      </c>
      <c r="B25">
        <f>B11+B17+B23</f>
        <v/>
      </c>
      <c r="C25">
        <f>C11+C17+C23</f>
        <v/>
      </c>
      <c r="D25">
        <f>D11+D17+D23</f>
        <v/>
      </c>
      <c r="E25">
        <f>C25-B25</f>
        <v/>
      </c>
      <c r="F25">
        <f>D25-C25</f>
        <v/>
      </c>
    </row>
    <row r="26">
      <c r="A26" t="inlineStr">
        <is>
          <t>Anfangsbestand Zahlungsmittel</t>
        </is>
      </c>
      <c r="B26" t="n">
        <v>45</v>
      </c>
      <c r="C26" t="n">
        <v>55.5</v>
      </c>
      <c r="D26" t="n">
        <v>68.3</v>
      </c>
      <c r="E26">
        <f>C26-B26</f>
        <v/>
      </c>
      <c r="F26">
        <f>D26-C26</f>
        <v/>
      </c>
      <c r="G26">
        <f>IF(B26&gt;0,(D26/B26)^(1/2)-1,0)</f>
        <v/>
      </c>
    </row>
    <row r="27">
      <c r="A27" t="inlineStr">
        <is>
          <t>Endbestand Zahlungsmittel</t>
        </is>
      </c>
      <c r="B27">
        <f>B26+B25</f>
        <v/>
      </c>
      <c r="C27">
        <f>C26+C25</f>
        <v/>
      </c>
      <c r="D27">
        <f>D26+D25</f>
        <v/>
      </c>
      <c r="E27">
        <f>C27-B27</f>
        <v/>
      </c>
      <c r="F27">
        <f>D27-C27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2026-01-27T15:45:35Z</dcterms:created>
  <dcterms:modified xmlns:dcterms="http://purl.org/dc/terms/" xmlns:xsi="http://www.w3.org/2001/XMLSchema-instance" xsi:type="dcterms:W3CDTF">2026-01-27T15:45:35Z</dcterms:modified>
</cp:coreProperties>
</file>