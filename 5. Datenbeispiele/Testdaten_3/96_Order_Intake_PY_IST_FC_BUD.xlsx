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 Intak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</cols>
  <sheetData>
    <row r="1">
      <c r="A1" s="1" t="inlineStr">
        <is>
          <t>Order Intake Analysis - Machinery AG</t>
        </is>
      </c>
    </row>
    <row r="2">
      <c r="A2" t="inlineStr">
        <is>
          <t>FY 2025 | EUR Mio. | PY IST vs FC vs BUD</t>
        </is>
      </c>
    </row>
    <row r="4">
      <c r="A4" s="2" t="inlineStr">
        <is>
          <t>Product Line</t>
        </is>
      </c>
      <c r="B4" s="2" t="inlineStr">
        <is>
          <t>Jan PY</t>
        </is>
      </c>
      <c r="C4" s="2" t="inlineStr">
        <is>
          <t>Jan FC</t>
        </is>
      </c>
      <c r="D4" s="2" t="inlineStr">
        <is>
          <t>Jan BUD</t>
        </is>
      </c>
      <c r="E4" s="2" t="inlineStr">
        <is>
          <t>Feb PY</t>
        </is>
      </c>
      <c r="F4" s="2" t="inlineStr">
        <is>
          <t>Feb FC</t>
        </is>
      </c>
      <c r="G4" s="2" t="inlineStr">
        <is>
          <t>Feb BUD</t>
        </is>
      </c>
      <c r="H4" s="2" t="inlineStr">
        <is>
          <t>Mar PY</t>
        </is>
      </c>
      <c r="I4" s="2" t="inlineStr">
        <is>
          <t>Mar FC</t>
        </is>
      </c>
      <c r="J4" s="2" t="inlineStr">
        <is>
          <t>Mar BUD</t>
        </is>
      </c>
      <c r="K4" s="2" t="inlineStr">
        <is>
          <t>Q1 PY</t>
        </is>
      </c>
      <c r="L4" s="2" t="inlineStr">
        <is>
          <t>Q1 FC</t>
        </is>
      </c>
      <c r="M4" s="2" t="inlineStr">
        <is>
          <t>Q1 BUD</t>
        </is>
      </c>
    </row>
    <row r="5">
      <c r="A5" t="inlineStr">
        <is>
          <t>Standard Machines</t>
        </is>
      </c>
      <c r="B5" t="n">
        <v>8.5</v>
      </c>
      <c r="C5" t="n">
        <v>9.199999999999999</v>
      </c>
      <c r="D5" t="n">
        <v>9.5</v>
      </c>
      <c r="E5" t="n">
        <v>7.8</v>
      </c>
      <c r="F5" t="n">
        <v>8.4</v>
      </c>
      <c r="G5" t="n">
        <v>8.699999999999999</v>
      </c>
      <c r="H5" t="n">
        <v>9.199999999999999</v>
      </c>
      <c r="I5" t="n">
        <v>9.9</v>
      </c>
      <c r="J5" t="n">
        <v>10.3</v>
      </c>
      <c r="K5">
        <f>B5+E5+H5</f>
        <v/>
      </c>
      <c r="L5">
        <f>C5+F5+I5</f>
        <v/>
      </c>
      <c r="M5">
        <f>D5+G5+J5</f>
        <v/>
      </c>
    </row>
    <row r="6">
      <c r="A6" t="inlineStr">
        <is>
          <t>Custom Solutions</t>
        </is>
      </c>
      <c r="B6" t="n">
        <v>12</v>
      </c>
      <c r="C6" t="n">
        <v>13</v>
      </c>
      <c r="D6" t="n">
        <v>13.4</v>
      </c>
      <c r="E6" t="n">
        <v>11.2</v>
      </c>
      <c r="F6" t="n">
        <v>12.1</v>
      </c>
      <c r="G6" t="n">
        <v>12.5</v>
      </c>
      <c r="H6" t="n">
        <v>13.5</v>
      </c>
      <c r="I6" t="n">
        <v>14.6</v>
      </c>
      <c r="J6" t="n">
        <v>15</v>
      </c>
      <c r="K6">
        <f>B6+E6+H6</f>
        <v/>
      </c>
      <c r="L6">
        <f>C6+F6+I6</f>
        <v/>
      </c>
      <c r="M6">
        <f>D6+G6+J6</f>
        <v/>
      </c>
    </row>
    <row r="7">
      <c r="A7" t="inlineStr">
        <is>
          <t>Spare Parts</t>
        </is>
      </c>
      <c r="B7" t="n">
        <v>3.2</v>
      </c>
      <c r="C7" t="n">
        <v>3.5</v>
      </c>
      <c r="D7" t="n">
        <v>3.6</v>
      </c>
      <c r="E7" t="n">
        <v>3</v>
      </c>
      <c r="F7" t="n">
        <v>3.2</v>
      </c>
      <c r="G7" t="n">
        <v>3.3</v>
      </c>
      <c r="H7" t="n">
        <v>3.4</v>
      </c>
      <c r="I7" t="n">
        <v>3.7</v>
      </c>
      <c r="J7" t="n">
        <v>3.8</v>
      </c>
      <c r="K7">
        <f>B7+E7+H7</f>
        <v/>
      </c>
      <c r="L7">
        <f>C7+F7+I7</f>
        <v/>
      </c>
      <c r="M7">
        <f>D7+G7+J7</f>
        <v/>
      </c>
    </row>
    <row r="8">
      <c r="A8" t="inlineStr">
        <is>
          <t>Service Contracts</t>
        </is>
      </c>
      <c r="B8" t="n">
        <v>2.8</v>
      </c>
      <c r="C8" t="n">
        <v>3</v>
      </c>
      <c r="D8" t="n">
        <v>3.1</v>
      </c>
      <c r="E8" t="n">
        <v>2.6</v>
      </c>
      <c r="F8" t="n">
        <v>2.8</v>
      </c>
      <c r="G8" t="n">
        <v>2.9</v>
      </c>
      <c r="H8" t="n">
        <v>2.9</v>
      </c>
      <c r="I8" t="n">
        <v>3.1</v>
      </c>
      <c r="J8" t="n">
        <v>3.2</v>
      </c>
      <c r="K8">
        <f>B8+E8+H8</f>
        <v/>
      </c>
      <c r="L8">
        <f>C8+F8+I8</f>
        <v/>
      </c>
      <c r="M8">
        <f>D8+G8+J8</f>
        <v/>
      </c>
    </row>
    <row r="9">
      <c r="A9" t="inlineStr">
        <is>
          <t>Automation Systems</t>
        </is>
      </c>
      <c r="B9" t="n">
        <v>5.5</v>
      </c>
      <c r="C9" t="n">
        <v>6</v>
      </c>
      <c r="D9" t="n">
        <v>6.2</v>
      </c>
      <c r="E9" t="n">
        <v>5.2</v>
      </c>
      <c r="F9" t="n">
        <v>5.6</v>
      </c>
      <c r="G9" t="n">
        <v>5.8</v>
      </c>
      <c r="H9" t="n">
        <v>5.8</v>
      </c>
      <c r="I9" t="n">
        <v>6.3</v>
      </c>
      <c r="J9" t="n">
        <v>6.5</v>
      </c>
      <c r="K9">
        <f>B9+E9+H9</f>
        <v/>
      </c>
      <c r="L9">
        <f>C9+F9+I9</f>
        <v/>
      </c>
      <c r="M9">
        <f>D9+G9+J9</f>
        <v/>
      </c>
    </row>
    <row r="10">
      <c r="A10" t="inlineStr">
        <is>
          <t>Total Order Intake</t>
        </is>
      </c>
      <c r="B10">
        <f>SUM(B5:B9)</f>
        <v/>
      </c>
      <c r="C10">
        <f>SUM(C5:C9)</f>
        <v/>
      </c>
      <c r="D10">
        <f>SUM(D5:D9)</f>
        <v/>
      </c>
      <c r="E10">
        <f>SUM(E5:E9)</f>
        <v/>
      </c>
      <c r="F10">
        <f>SUM(F5:F9)</f>
        <v/>
      </c>
      <c r="G10">
        <f>SUM(G5:G9)</f>
        <v/>
      </c>
      <c r="H10">
        <f>SUM(H5:H9)</f>
        <v/>
      </c>
      <c r="I10">
        <f>SUM(I5:I9)</f>
        <v/>
      </c>
      <c r="J10">
        <f>SUM(J5:J9)</f>
        <v/>
      </c>
      <c r="K10">
        <f>SUM(K5:K9)</f>
        <v/>
      </c>
      <c r="L10">
        <f>SUM(L5:L9)</f>
        <v/>
      </c>
      <c r="M10">
        <f>SUM(M5:M9)</f>
        <v/>
      </c>
    </row>
    <row r="11">
      <c r="A11" t="inlineStr"/>
    </row>
    <row r="12">
      <c r="A12" t="inlineStr">
        <is>
          <t>Book-to-Bill Ratio</t>
        </is>
      </c>
      <c r="B12" t="n">
        <v>1.08</v>
      </c>
      <c r="C12" t="n">
        <v>1.1</v>
      </c>
      <c r="D12" t="n">
        <v>1.12</v>
      </c>
      <c r="E12" t="n">
        <v>1.05</v>
      </c>
      <c r="F12" t="n">
        <v>1.07</v>
      </c>
      <c r="G12" t="n">
        <v>1.09</v>
      </c>
      <c r="H12" t="n">
        <v>1.12</v>
      </c>
      <c r="I12" t="n">
        <v>1.14</v>
      </c>
      <c r="J12" t="n">
        <v>1.16</v>
      </c>
    </row>
    <row r="13">
      <c r="A13" t="inlineStr">
        <is>
          <t>Backlog EOD</t>
        </is>
      </c>
      <c r="B13" t="n">
        <v>85</v>
      </c>
      <c r="C13" t="n">
        <v>88.5</v>
      </c>
      <c r="D13" t="n">
        <v>90.2</v>
      </c>
      <c r="E13" t="n">
        <v>87.5</v>
      </c>
      <c r="F13" t="n">
        <v>91.2</v>
      </c>
      <c r="G13" t="n">
        <v>93.09999999999999</v>
      </c>
      <c r="H13" t="n">
        <v>92</v>
      </c>
      <c r="I13" t="n">
        <v>96</v>
      </c>
      <c r="J13" t="n">
        <v>98.2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2026-01-27T15:50:06Z</dcterms:created>
  <dcterms:modified xmlns:dcterms="http://purl.org/dc/terms/" xmlns:xsi="http://www.w3.org/2001/XMLSchema-instance" xsi:type="dcterms:W3CDTF">2026-01-27T15:50:06Z</dcterms:modified>
</cp:coreProperties>
</file>