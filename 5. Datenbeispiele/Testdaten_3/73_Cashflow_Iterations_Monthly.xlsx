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F It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Cashflow Forecast Iterations - Tech Startup AG</t>
        </is>
      </c>
    </row>
    <row r="2">
      <c r="A2" t="inlineStr">
        <is>
          <t>Q4 2025 | TEUR | Version Tracking</t>
        </is>
      </c>
    </row>
    <row r="4">
      <c r="A4" s="2" t="inlineStr">
        <is>
          <t>Position</t>
        </is>
      </c>
      <c r="B4" s="2" t="inlineStr">
        <is>
          <t>Oct IT1</t>
        </is>
      </c>
      <c r="C4" s="2" t="inlineStr">
        <is>
          <t>Oct IT2</t>
        </is>
      </c>
      <c r="D4" s="2" t="inlineStr">
        <is>
          <t>Oct Final</t>
        </is>
      </c>
      <c r="E4" s="2" t="inlineStr">
        <is>
          <t>Nov IT1</t>
        </is>
      </c>
      <c r="F4" s="2" t="inlineStr">
        <is>
          <t>Nov IT2</t>
        </is>
      </c>
      <c r="G4" s="2" t="inlineStr">
        <is>
          <t>Nov Final</t>
        </is>
      </c>
      <c r="H4" s="2" t="inlineStr">
        <is>
          <t>Dec IT1</t>
        </is>
      </c>
      <c r="I4" s="2" t="inlineStr">
        <is>
          <t>Dec IT2</t>
        </is>
      </c>
      <c r="J4" s="2" t="inlineStr">
        <is>
          <t>Dec Final</t>
        </is>
      </c>
    </row>
    <row r="5">
      <c r="A5" t="inlineStr">
        <is>
          <t>Cash Inflows</t>
        </is>
      </c>
      <c r="B5" t="n">
        <v>850</v>
      </c>
      <c r="C5" t="n">
        <v>867</v>
      </c>
      <c r="D5" t="n">
        <v>884</v>
      </c>
      <c r="E5" t="n">
        <v>920</v>
      </c>
      <c r="F5" t="n">
        <v>938</v>
      </c>
      <c r="G5" t="n">
        <v>957</v>
      </c>
      <c r="H5" t="n">
        <v>1050</v>
      </c>
      <c r="I5" t="n">
        <v>1071</v>
      </c>
      <c r="J5" t="n">
        <v>1092</v>
      </c>
    </row>
    <row r="6">
      <c r="A6" t="inlineStr">
        <is>
          <t>Customer Receipts</t>
        </is>
      </c>
      <c r="B6" t="n">
        <v>780</v>
      </c>
      <c r="C6" t="n">
        <v>796</v>
      </c>
      <c r="D6" t="n">
        <v>811</v>
      </c>
      <c r="E6" t="n">
        <v>850</v>
      </c>
      <c r="F6" t="n">
        <v>867</v>
      </c>
      <c r="G6" t="n">
        <v>884</v>
      </c>
      <c r="H6" t="n">
        <v>980</v>
      </c>
      <c r="I6" t="n">
        <v>1000</v>
      </c>
      <c r="J6" t="n">
        <v>1020</v>
      </c>
    </row>
    <row r="7">
      <c r="A7" t="inlineStr">
        <is>
          <t>Other Receipts</t>
        </is>
      </c>
      <c r="B7" t="n">
        <v>70</v>
      </c>
      <c r="C7" t="n">
        <v>71</v>
      </c>
      <c r="D7" t="n">
        <v>73</v>
      </c>
      <c r="E7" t="n">
        <v>70</v>
      </c>
      <c r="F7" t="n">
        <v>71</v>
      </c>
      <c r="G7" t="n">
        <v>73</v>
      </c>
      <c r="H7" t="n">
        <v>70</v>
      </c>
      <c r="I7" t="n">
        <v>71</v>
      </c>
      <c r="J7" t="n">
        <v>72</v>
      </c>
    </row>
    <row r="8">
      <c r="A8" t="inlineStr">
        <is>
          <t>Cash Outflows</t>
        </is>
      </c>
      <c r="B8" t="n">
        <v>-720</v>
      </c>
      <c r="C8" t="n">
        <v>-706</v>
      </c>
      <c r="D8" t="n">
        <v>-691</v>
      </c>
      <c r="E8" t="n">
        <v>-780</v>
      </c>
      <c r="F8" t="n">
        <v>-764</v>
      </c>
      <c r="G8" t="n">
        <v>-749</v>
      </c>
      <c r="H8" t="n">
        <v>-850</v>
      </c>
      <c r="I8" t="n">
        <v>-833</v>
      </c>
      <c r="J8" t="n">
        <v>-816</v>
      </c>
    </row>
    <row r="9">
      <c r="A9" t="inlineStr">
        <is>
          <t>Payroll</t>
        </is>
      </c>
      <c r="B9" t="n">
        <v>-380</v>
      </c>
      <c r="C9" t="n">
        <v>-376</v>
      </c>
      <c r="D9" t="n">
        <v>-373</v>
      </c>
      <c r="E9" t="n">
        <v>-400</v>
      </c>
      <c r="F9" t="n">
        <v>-396</v>
      </c>
      <c r="G9" t="n">
        <v>-392</v>
      </c>
      <c r="H9" t="n">
        <v>-420</v>
      </c>
      <c r="I9" t="n">
        <v>-416</v>
      </c>
      <c r="J9" t="n">
        <v>-412</v>
      </c>
    </row>
    <row r="10">
      <c r="A10" t="inlineStr">
        <is>
          <t>Suppliers</t>
        </is>
      </c>
      <c r="B10" t="n">
        <v>-220</v>
      </c>
      <c r="C10" t="n">
        <v>-214</v>
      </c>
      <c r="D10" t="n">
        <v>-207</v>
      </c>
      <c r="E10" t="n">
        <v>-250</v>
      </c>
      <c r="F10" t="n">
        <v>-243</v>
      </c>
      <c r="G10" t="n">
        <v>-236</v>
      </c>
      <c r="H10" t="n">
        <v>-290</v>
      </c>
      <c r="I10" t="n">
        <v>-282</v>
      </c>
      <c r="J10" t="n">
        <v>-274</v>
      </c>
    </row>
    <row r="11">
      <c r="A11" t="inlineStr">
        <is>
          <t>OpEx Other</t>
        </is>
      </c>
      <c r="B11" t="n">
        <v>-120</v>
      </c>
      <c r="C11" t="n">
        <v>-116</v>
      </c>
      <c r="D11" t="n">
        <v>-111</v>
      </c>
      <c r="E11" t="n">
        <v>-130</v>
      </c>
      <c r="F11" t="n">
        <v>-125</v>
      </c>
      <c r="G11" t="n">
        <v>-121</v>
      </c>
      <c r="H11" t="n">
        <v>-140</v>
      </c>
      <c r="I11" t="n">
        <v>-135</v>
      </c>
      <c r="J11" t="n">
        <v>-130</v>
      </c>
    </row>
    <row r="12">
      <c r="A12" t="inlineStr">
        <is>
          <t>Net Operating CF</t>
        </is>
      </c>
      <c r="B12">
        <f>B5+B8</f>
        <v/>
      </c>
      <c r="C12">
        <f>C5+C8</f>
        <v/>
      </c>
      <c r="D12">
        <f>D5+D8</f>
        <v/>
      </c>
      <c r="E12">
        <f>E5+E8</f>
        <v/>
      </c>
      <c r="F12">
        <f>F5+F8</f>
        <v/>
      </c>
      <c r="G12">
        <f>G5+G8</f>
        <v/>
      </c>
      <c r="H12">
        <f>H5+H8</f>
        <v/>
      </c>
      <c r="I12">
        <f>I5+I8</f>
        <v/>
      </c>
      <c r="J12">
        <f>J5+J8</f>
        <v/>
      </c>
    </row>
    <row r="13">
      <c r="A13" t="inlineStr">
        <is>
          <t>CapEx</t>
        </is>
      </c>
      <c r="B13" t="n">
        <v>-80</v>
      </c>
      <c r="C13" t="n">
        <v>-78</v>
      </c>
      <c r="D13" t="n">
        <v>-75</v>
      </c>
      <c r="E13" t="n">
        <v>-90</v>
      </c>
      <c r="F13" t="n">
        <v>-88</v>
      </c>
      <c r="G13" t="n">
        <v>-85</v>
      </c>
      <c r="H13" t="n">
        <v>-100</v>
      </c>
      <c r="I13" t="n">
        <v>-98</v>
      </c>
      <c r="J13" t="n">
        <v>-95</v>
      </c>
    </row>
    <row r="14">
      <c r="A14" t="inlineStr">
        <is>
          <t>Free Cash Flow</t>
        </is>
      </c>
      <c r="B14">
        <f>B12+B13</f>
        <v/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2026-01-27T15:45:35Z</dcterms:created>
  <dcterms:modified xmlns:dcterms="http://purl.org/dc/terms/" xmlns:xsi="http://www.w3.org/2001/XMLSchema-instance" xsi:type="dcterms:W3CDTF">2026-01-27T15:45:35Z</dcterms:modified>
</cp:coreProperties>
</file>