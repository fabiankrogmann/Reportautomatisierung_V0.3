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1 It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IFRS Profit &amp; Loss - Tech Solutions AG</t>
        </is>
      </c>
    </row>
    <row r="2">
      <c r="A2" t="inlineStr">
        <is>
          <t>FY 2025 | EUR thousands | Forecast 1 Iteration Tracking</t>
        </is>
      </c>
    </row>
    <row r="4">
      <c r="A4" s="2" t="inlineStr">
        <is>
          <t>Position</t>
        </is>
      </c>
      <c r="B4" s="2" t="inlineStr">
        <is>
          <t>IST 2024</t>
        </is>
      </c>
      <c r="C4" s="2" t="inlineStr">
        <is>
          <t>FC1 Initial</t>
        </is>
      </c>
      <c r="D4" s="2" t="inlineStr">
        <is>
          <t>FC1 Iter_1</t>
        </is>
      </c>
      <c r="E4" s="2" t="inlineStr">
        <is>
          <t>FC1 Iter_2</t>
        </is>
      </c>
      <c r="F4" s="2" t="inlineStr">
        <is>
          <t>FC1 Final</t>
        </is>
      </c>
      <c r="G4" s="2" t="inlineStr">
        <is>
          <t>Delta Init vs Final</t>
        </is>
      </c>
      <c r="H4" s="2" t="inlineStr">
        <is>
          <t>Delta %</t>
        </is>
      </c>
    </row>
    <row r="5">
      <c r="A5" t="inlineStr">
        <is>
          <t>Revenue</t>
        </is>
      </c>
      <c r="B5" t="n">
        <v>95000</v>
      </c>
      <c r="C5" t="n">
        <v>102000</v>
      </c>
      <c r="D5" t="n">
        <v>100500</v>
      </c>
      <c r="E5" t="n">
        <v>101200</v>
      </c>
      <c r="F5" t="n">
        <v>101800</v>
      </c>
      <c r="G5">
        <f>F5-C5</f>
        <v/>
      </c>
      <c r="H5">
        <f>IF(C5&lt;&gt;0,G5/C5,0)</f>
        <v/>
      </c>
    </row>
    <row r="6">
      <c r="A6" t="inlineStr">
        <is>
          <t>Cost of Sales</t>
        </is>
      </c>
      <c r="B6" t="n">
        <v>-57000</v>
      </c>
      <c r="C6" t="n">
        <v>-60180</v>
      </c>
      <c r="D6" t="n">
        <v>-59295</v>
      </c>
      <c r="E6" t="n">
        <v>-59708</v>
      </c>
      <c r="F6" t="n">
        <v>-60068</v>
      </c>
      <c r="G6">
        <f>F6-C6</f>
        <v/>
      </c>
      <c r="H6">
        <f>IF(C6&lt;&gt;0,G6/C6,0)</f>
        <v/>
      </c>
    </row>
    <row r="7">
      <c r="A7" t="inlineStr">
        <is>
          <t>Gross Profit</t>
        </is>
      </c>
      <c r="B7">
        <f>B5+B6</f>
        <v/>
      </c>
      <c r="C7">
        <f>C5+C6</f>
        <v/>
      </c>
      <c r="D7">
        <f>D5+D6</f>
        <v/>
      </c>
      <c r="E7">
        <f>E5+E6</f>
        <v/>
      </c>
      <c r="F7">
        <f>F5+F6</f>
        <v/>
      </c>
      <c r="G7">
        <f>F7-C7</f>
        <v/>
      </c>
      <c r="H7">
        <f>IF(C7&lt;&gt;0,G7/C7,0)</f>
        <v/>
      </c>
    </row>
    <row r="8">
      <c r="A8" t="inlineStr">
        <is>
          <t>Research &amp; Development</t>
        </is>
      </c>
      <c r="B8" t="n">
        <v>-9500</v>
      </c>
      <c r="C8" t="n">
        <v>-10200</v>
      </c>
      <c r="D8" t="n">
        <v>-10050</v>
      </c>
      <c r="E8" t="n">
        <v>-10120</v>
      </c>
      <c r="F8" t="n">
        <v>-10180</v>
      </c>
      <c r="G8">
        <f>F8-C8</f>
        <v/>
      </c>
      <c r="H8">
        <f>IF(C8&lt;&gt;0,G8/C8,0)</f>
        <v/>
      </c>
    </row>
    <row r="9">
      <c r="A9" t="inlineStr">
        <is>
          <t>Sales &amp; Marketing</t>
        </is>
      </c>
      <c r="B9" t="n">
        <v>-11400</v>
      </c>
      <c r="C9" t="n">
        <v>-12240</v>
      </c>
      <c r="D9" t="n">
        <v>-12060</v>
      </c>
      <c r="E9" t="n">
        <v>-12144</v>
      </c>
      <c r="F9" t="n">
        <v>-12216</v>
      </c>
      <c r="G9">
        <f>F9-C9</f>
        <v/>
      </c>
      <c r="H9">
        <f>IF(C9&lt;&gt;0,G9/C9,0)</f>
        <v/>
      </c>
    </row>
    <row r="10">
      <c r="A10" t="inlineStr">
        <is>
          <t>General &amp; Administrative</t>
        </is>
      </c>
      <c r="B10" t="n">
        <v>-7600</v>
      </c>
      <c r="C10" t="n">
        <v>-8160</v>
      </c>
      <c r="D10" t="n">
        <v>-8040</v>
      </c>
      <c r="E10" t="n">
        <v>-8096</v>
      </c>
      <c r="F10" t="n">
        <v>-8144</v>
      </c>
      <c r="G10">
        <f>F10-C10</f>
        <v/>
      </c>
      <c r="H10">
        <f>IF(C10&lt;&gt;0,G10/C10,0)</f>
        <v/>
      </c>
    </row>
    <row r="11">
      <c r="A11" t="inlineStr">
        <is>
          <t>Other Operating Income</t>
        </is>
      </c>
      <c r="B11" t="n">
        <v>1900</v>
      </c>
      <c r="C11" t="n">
        <v>2040</v>
      </c>
      <c r="D11" t="n">
        <v>2010</v>
      </c>
      <c r="E11" t="n">
        <v>2024</v>
      </c>
      <c r="F11" t="n">
        <v>2036</v>
      </c>
      <c r="G11">
        <f>F11-C11</f>
        <v/>
      </c>
      <c r="H11">
        <f>IF(C11&lt;&gt;0,G11/C11,0)</f>
        <v/>
      </c>
    </row>
    <row r="12">
      <c r="A12" t="inlineStr">
        <is>
          <t>Other Operating Expense</t>
        </is>
      </c>
      <c r="B12" t="n">
        <v>-950</v>
      </c>
      <c r="C12" t="n">
        <v>-1020</v>
      </c>
      <c r="D12" t="n">
        <v>-1005</v>
      </c>
      <c r="E12" t="n">
        <v>-1012</v>
      </c>
      <c r="F12" t="n">
        <v>-1018</v>
      </c>
      <c r="G12">
        <f>F12-C12</f>
        <v/>
      </c>
      <c r="H12">
        <f>IF(C12&lt;&gt;0,G12/C12,0)</f>
        <v/>
      </c>
    </row>
    <row r="13">
      <c r="A13" t="inlineStr">
        <is>
          <t>EBITDA</t>
        </is>
      </c>
      <c r="B13">
        <f>B7+B8+B9+B10+B11+B12</f>
        <v/>
      </c>
      <c r="C13">
        <f>C7+C8+C9+C10+C11+C12</f>
        <v/>
      </c>
      <c r="D13">
        <f>D7+D8+D9+D10+D11+D12</f>
        <v/>
      </c>
      <c r="E13">
        <f>E7+E8+E9+E10+E11+E12</f>
        <v/>
      </c>
      <c r="F13">
        <f>F7+F8+F9+F10+F11+F12</f>
        <v/>
      </c>
      <c r="G13">
        <f>F13-C13</f>
        <v/>
      </c>
      <c r="H13">
        <f>IF(C13&lt;&gt;0,G13/C13,0)</f>
        <v/>
      </c>
    </row>
    <row r="14">
      <c r="A14" t="inlineStr">
        <is>
          <t>Depreciation &amp; Amortization</t>
        </is>
      </c>
      <c r="B14" t="n">
        <v>-4750</v>
      </c>
      <c r="C14" t="n">
        <v>-5100</v>
      </c>
      <c r="D14" t="n">
        <v>-5025</v>
      </c>
      <c r="E14" t="n">
        <v>-5060</v>
      </c>
      <c r="F14" t="n">
        <v>-5090</v>
      </c>
      <c r="G14">
        <f>F14-C14</f>
        <v/>
      </c>
      <c r="H14">
        <f>IF(C14&lt;&gt;0,G14/C14,0)</f>
        <v/>
      </c>
    </row>
    <row r="15">
      <c r="A15" t="inlineStr">
        <is>
          <t>EBIT</t>
        </is>
      </c>
      <c r="B15">
        <f>B13+B14</f>
        <v/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F15-C15</f>
        <v/>
      </c>
      <c r="H15">
        <f>IF(C15&lt;&gt;0,G15/C15,0)</f>
        <v/>
      </c>
    </row>
    <row r="16">
      <c r="A16" t="inlineStr">
        <is>
          <t>Interest Income</t>
        </is>
      </c>
      <c r="B16" t="n">
        <v>475</v>
      </c>
      <c r="C16" t="n">
        <v>510</v>
      </c>
      <c r="D16" t="n">
        <v>503</v>
      </c>
      <c r="E16" t="n">
        <v>506</v>
      </c>
      <c r="F16" t="n">
        <v>509</v>
      </c>
      <c r="G16">
        <f>F16-C16</f>
        <v/>
      </c>
      <c r="H16">
        <f>IF(C16&lt;&gt;0,G16/C16,0)</f>
        <v/>
      </c>
    </row>
    <row r="17">
      <c r="A17" t="inlineStr">
        <is>
          <t>Interest Expense</t>
        </is>
      </c>
      <c r="B17" t="n">
        <v>-1425</v>
      </c>
      <c r="C17" t="n">
        <v>-1530</v>
      </c>
      <c r="D17" t="n">
        <v>-1508</v>
      </c>
      <c r="E17" t="n">
        <v>-1518</v>
      </c>
      <c r="F17" t="n">
        <v>-1527</v>
      </c>
      <c r="G17">
        <f>F17-C17</f>
        <v/>
      </c>
      <c r="H17">
        <f>IF(C17&lt;&gt;0,G17/C17,0)</f>
        <v/>
      </c>
    </row>
    <row r="18">
      <c r="A18" t="inlineStr">
        <is>
          <t>EBT</t>
        </is>
      </c>
      <c r="B18">
        <f>B15+B16+B17</f>
        <v/>
      </c>
      <c r="C18">
        <f>C15+C16+C17</f>
        <v/>
      </c>
      <c r="D18">
        <f>D15+D16+D17</f>
        <v/>
      </c>
      <c r="E18">
        <f>E15+E16+E17</f>
        <v/>
      </c>
      <c r="F18">
        <f>F15+F16+F17</f>
        <v/>
      </c>
      <c r="G18">
        <f>F18-C18</f>
        <v/>
      </c>
      <c r="H18">
        <f>IF(C18&lt;&gt;0,G18/C18,0)</f>
        <v/>
      </c>
    </row>
    <row r="19">
      <c r="A19" t="inlineStr">
        <is>
          <t>Income Tax</t>
        </is>
      </c>
      <c r="B19">
        <f>IF(B18&gt;0,-B18*0.28,0)</f>
        <v/>
      </c>
      <c r="C19">
        <f>IF(C18&gt;0,-C18*0.28,0)</f>
        <v/>
      </c>
      <c r="D19">
        <f>IF(D18&gt;0,-D18*0.28,0)</f>
        <v/>
      </c>
      <c r="E19">
        <f>IF(E18&gt;0,-E18*0.28,0)</f>
        <v/>
      </c>
      <c r="F19">
        <f>IF(F18&gt;0,-F18*0.28,0)</f>
        <v/>
      </c>
      <c r="G19">
        <f>F19-C19</f>
        <v/>
      </c>
      <c r="H19">
        <f>IF(C19&lt;&gt;0,G19/C19,0)</f>
        <v/>
      </c>
    </row>
    <row r="20">
      <c r="A20" t="inlineStr">
        <is>
          <t>Net Income</t>
        </is>
      </c>
      <c r="B20">
        <f>B18+B19</f>
        <v/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F20-C20</f>
        <v/>
      </c>
      <c r="H20">
        <f>IF(C20&lt;&gt;0,G20/C20,0)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2026-01-27T15:41:24Z</dcterms:created>
  <dcterms:modified xmlns:dcterms="http://purl.org/dc/terms/" xmlns:xsi="http://www.w3.org/2001/XMLSchema-instance" xsi:type="dcterms:W3CDTF">2026-01-27T15:41:24Z</dcterms:modified>
</cp:coreProperties>
</file>