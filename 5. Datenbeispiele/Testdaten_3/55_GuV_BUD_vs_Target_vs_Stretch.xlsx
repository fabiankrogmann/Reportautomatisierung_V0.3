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GuV Planvergleich - Retail Group SE</t>
        </is>
      </c>
    </row>
    <row r="2">
      <c r="A2" t="inlineStr">
        <is>
          <t>FY 2026 | TEUR | Budget vs Target vs Stretch Goal</t>
        </is>
      </c>
    </row>
    <row r="4">
      <c r="A4" s="2" t="inlineStr">
        <is>
          <t>Position</t>
        </is>
      </c>
      <c r="B4" s="2" t="inlineStr">
        <is>
          <t>Budget</t>
        </is>
      </c>
      <c r="C4" s="2" t="inlineStr">
        <is>
          <t>Target</t>
        </is>
      </c>
      <c r="D4" s="2" t="inlineStr">
        <is>
          <t>Stretch</t>
        </is>
      </c>
      <c r="E4" s="2" t="inlineStr">
        <is>
          <t>Δ Target vs BUD</t>
        </is>
      </c>
      <c r="F4" s="2" t="inlineStr">
        <is>
          <t>Δ Stretch vs BUD</t>
        </is>
      </c>
    </row>
    <row r="5">
      <c r="A5" t="inlineStr">
        <is>
          <t>Nettoumsatz</t>
        </is>
      </c>
      <c r="B5" t="n">
        <v>450000</v>
      </c>
      <c r="C5" t="n">
        <v>472500</v>
      </c>
      <c r="D5" t="n">
        <v>495000</v>
      </c>
      <c r="E5">
        <f>C5-B5</f>
        <v/>
      </c>
      <c r="F5">
        <f>D5-B5</f>
        <v/>
      </c>
    </row>
    <row r="6">
      <c r="A6" t="inlineStr">
        <is>
          <t>Wareneinsatz</t>
        </is>
      </c>
      <c r="B6" t="n">
        <v>-292500</v>
      </c>
      <c r="C6" t="n">
        <v>-302400</v>
      </c>
      <c r="D6" t="n">
        <v>-311850</v>
      </c>
      <c r="E6">
        <f>C6-B6</f>
        <v/>
      </c>
      <c r="F6">
        <f>D6-B6</f>
        <v/>
      </c>
    </row>
    <row r="7">
      <c r="A7" t="inlineStr">
        <is>
          <t>Rohertrag</t>
        </is>
      </c>
      <c r="B7">
        <f>B5+B6</f>
        <v/>
      </c>
      <c r="C7">
        <f>C5+C6</f>
        <v/>
      </c>
      <c r="D7">
        <f>D5+D6</f>
        <v/>
      </c>
      <c r="E7">
        <f>C7-B7</f>
        <v/>
      </c>
      <c r="F7">
        <f>D7-B7</f>
        <v/>
      </c>
    </row>
    <row r="8">
      <c r="A8" t="inlineStr">
        <is>
          <t>Personalkosten</t>
        </is>
      </c>
      <c r="B8" t="n">
        <v>-67500</v>
      </c>
      <c r="C8" t="n">
        <v>-66150</v>
      </c>
      <c r="D8" t="n">
        <v>-64350</v>
      </c>
      <c r="E8">
        <f>C8-B8</f>
        <v/>
      </c>
      <c r="F8">
        <f>D8-B8</f>
        <v/>
      </c>
    </row>
    <row r="9">
      <c r="A9" t="inlineStr">
        <is>
          <t>Mietaufwand</t>
        </is>
      </c>
      <c r="B9" t="n">
        <v>-31500</v>
      </c>
      <c r="C9" t="n">
        <v>-31500</v>
      </c>
      <c r="D9" t="n">
        <v>-31500</v>
      </c>
      <c r="E9">
        <f>C9-B9</f>
        <v/>
      </c>
      <c r="F9">
        <f>D9-B9</f>
        <v/>
      </c>
    </row>
    <row r="10">
      <c r="A10" t="inlineStr">
        <is>
          <t>Marketing</t>
        </is>
      </c>
      <c r="B10" t="n">
        <v>-18000</v>
      </c>
      <c r="C10" t="n">
        <v>-18900</v>
      </c>
      <c r="D10" t="n">
        <v>-19800</v>
      </c>
      <c r="E10">
        <f>C10-B10</f>
        <v/>
      </c>
      <c r="F10">
        <f>D10-B10</f>
        <v/>
      </c>
    </row>
    <row r="11">
      <c r="A11" t="inlineStr">
        <is>
          <t>Sonstige Kosten</t>
        </is>
      </c>
      <c r="B11" t="n">
        <v>-13500</v>
      </c>
      <c r="C11" t="n">
        <v>-13230</v>
      </c>
      <c r="D11" t="n">
        <v>-12870</v>
      </c>
      <c r="E11">
        <f>C11-B11</f>
        <v/>
      </c>
      <c r="F11">
        <f>D11-B11</f>
        <v/>
      </c>
    </row>
    <row r="12">
      <c r="A12" t="inlineStr">
        <is>
          <t>EBITDA</t>
        </is>
      </c>
      <c r="B12">
        <f>B7+B8+B9+B10+B11</f>
        <v/>
      </c>
      <c r="C12">
        <f>C7+C8+C9+C10+C11</f>
        <v/>
      </c>
      <c r="D12">
        <f>D7+D8+D9+D10+D11</f>
        <v/>
      </c>
      <c r="E12">
        <f>C12-B12</f>
        <v/>
      </c>
      <c r="F12">
        <f>D12-B12</f>
        <v/>
      </c>
    </row>
    <row r="13">
      <c r="A13" t="inlineStr">
        <is>
          <t>Abschreibungen</t>
        </is>
      </c>
      <c r="B13" t="n">
        <v>-9000</v>
      </c>
      <c r="C13" t="n">
        <v>-9000</v>
      </c>
      <c r="D13" t="n">
        <v>-9000</v>
      </c>
      <c r="E13">
        <f>C13-B13</f>
        <v/>
      </c>
      <c r="F13">
        <f>D13-B13</f>
        <v/>
      </c>
    </row>
    <row r="14">
      <c r="A14" t="inlineStr">
        <is>
          <t>EBIT</t>
        </is>
      </c>
      <c r="B14">
        <f>B12+B13</f>
        <v/>
      </c>
      <c r="C14">
        <f>C12+C13</f>
        <v/>
      </c>
      <c r="D14">
        <f>D12+D13</f>
        <v/>
      </c>
      <c r="E14">
        <f>C14-B14</f>
        <v/>
      </c>
      <c r="F14">
        <f>D14-B14</f>
        <v/>
      </c>
    </row>
    <row r="15">
      <c r="A15" t="inlineStr">
        <is>
          <t>Zinsen</t>
        </is>
      </c>
      <c r="B15" t="n">
        <v>-4500</v>
      </c>
      <c r="C15" t="n">
        <v>-4500</v>
      </c>
      <c r="D15" t="n">
        <v>-4500</v>
      </c>
      <c r="E15">
        <f>C15-B15</f>
        <v/>
      </c>
      <c r="F15">
        <f>D15-B15</f>
        <v/>
      </c>
    </row>
    <row r="16">
      <c r="A16" t="inlineStr">
        <is>
          <t>EBT</t>
        </is>
      </c>
      <c r="B16">
        <f>B14+B15</f>
        <v/>
      </c>
      <c r="C16">
        <f>C14+C15</f>
        <v/>
      </c>
      <c r="D16">
        <f>D14+D15</f>
        <v/>
      </c>
      <c r="E16">
        <f>C16-B16</f>
        <v/>
      </c>
      <c r="F16">
        <f>D16-B16</f>
        <v/>
      </c>
    </row>
    <row r="17">
      <c r="A17" t="inlineStr">
        <is>
          <t>Steuern</t>
        </is>
      </c>
      <c r="B17">
        <f>IF(B16&gt;0,-B16*0.3,0)</f>
        <v/>
      </c>
      <c r="C17">
        <f>IF(C16&gt;0,-C16*0.3,0)</f>
        <v/>
      </c>
      <c r="D17">
        <f>IF(D16&gt;0,-D16*0.3,0)</f>
        <v/>
      </c>
      <c r="E17">
        <f>C17-B17</f>
        <v/>
      </c>
      <c r="F17">
        <f>D17-B17</f>
        <v/>
      </c>
    </row>
    <row r="18">
      <c r="A18" t="inlineStr">
        <is>
          <t>Ergebnis</t>
        </is>
      </c>
      <c r="B18">
        <f>B16+B17</f>
        <v/>
      </c>
      <c r="C18">
        <f>C16+C17</f>
        <v/>
      </c>
      <c r="D18">
        <f>D16+D17</f>
        <v/>
      </c>
      <c r="E18">
        <f>C18-B18</f>
        <v/>
      </c>
      <c r="F18">
        <f>D18-B18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2026-01-27T15:41:24Z</dcterms:created>
  <dcterms:modified xmlns:dcterms="http://purl.org/dc/terms/" xmlns:xsi="http://www.w3.org/2001/XMLSchema-instance" xsi:type="dcterms:W3CDTF">2026-01-27T15:41:24Z</dcterms:modified>
</cp:coreProperties>
</file>