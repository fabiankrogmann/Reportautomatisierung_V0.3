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 CB 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Bilanz Opening / Closing / Forecast - Handel GmbH</t>
        </is>
      </c>
    </row>
    <row r="2">
      <c r="A2" t="inlineStr">
        <is>
          <t>FY 2025 | TEUR</t>
        </is>
      </c>
    </row>
    <row r="4">
      <c r="A4" s="2" t="inlineStr">
        <is>
          <t>Position</t>
        </is>
      </c>
      <c r="B4" s="2" t="inlineStr">
        <is>
          <t>Opening 01.01.</t>
        </is>
      </c>
      <c r="C4" s="2" t="inlineStr">
        <is>
          <t>Closing 31.12. IST</t>
        </is>
      </c>
      <c r="D4" s="2" t="inlineStr">
        <is>
          <t>Closing 31.12. FC</t>
        </is>
      </c>
      <c r="E4" s="2" t="inlineStr">
        <is>
          <t>Movement IST</t>
        </is>
      </c>
      <c r="F4" s="2" t="inlineStr">
        <is>
          <t>Movement FC</t>
        </is>
      </c>
    </row>
    <row r="5">
      <c r="A5" t="inlineStr">
        <is>
          <t>Anlagevermögen</t>
        </is>
      </c>
      <c r="B5" t="n">
        <v>28000</v>
      </c>
      <c r="C5" t="n">
        <v>30100</v>
      </c>
      <c r="D5" t="n">
        <v>29800</v>
      </c>
      <c r="E5">
        <f>C5-B5</f>
        <v/>
      </c>
      <c r="F5">
        <f>D5-B5</f>
        <v/>
      </c>
    </row>
    <row r="6">
      <c r="A6" t="inlineStr">
        <is>
          <t>Vorräte</t>
        </is>
      </c>
      <c r="B6" t="n">
        <v>15000</v>
      </c>
      <c r="C6" t="n">
        <v>16200</v>
      </c>
      <c r="D6" t="n">
        <v>15900</v>
      </c>
      <c r="E6">
        <f>C6-B6</f>
        <v/>
      </c>
      <c r="F6">
        <f>D6-B6</f>
        <v/>
      </c>
    </row>
    <row r="7">
      <c r="A7" t="inlineStr">
        <is>
          <t>Forderungen LuL</t>
        </is>
      </c>
      <c r="B7" t="n">
        <v>22000</v>
      </c>
      <c r="C7" t="n">
        <v>24500</v>
      </c>
      <c r="D7" t="n">
        <v>24000</v>
      </c>
      <c r="E7">
        <f>C7-B7</f>
        <v/>
      </c>
      <c r="F7">
        <f>D7-B7</f>
        <v/>
      </c>
    </row>
    <row r="8">
      <c r="A8" t="inlineStr">
        <is>
          <t>Sonstige Forderungen</t>
        </is>
      </c>
      <c r="B8" t="n">
        <v>3000</v>
      </c>
      <c r="C8" t="n">
        <v>3200</v>
      </c>
      <c r="D8" t="n">
        <v>3100</v>
      </c>
      <c r="E8">
        <f>C8-B8</f>
        <v/>
      </c>
      <c r="F8">
        <f>D8-B8</f>
        <v/>
      </c>
    </row>
    <row r="9">
      <c r="A9" t="inlineStr">
        <is>
          <t>Liquide Mittel</t>
        </is>
      </c>
      <c r="B9" t="n">
        <v>8000</v>
      </c>
      <c r="C9" t="n">
        <v>9500</v>
      </c>
      <c r="D9" t="n">
        <v>9200</v>
      </c>
      <c r="E9">
        <f>C9-B9</f>
        <v/>
      </c>
      <c r="F9">
        <f>D9-B9</f>
        <v/>
      </c>
    </row>
    <row r="10">
      <c r="A10" t="inlineStr">
        <is>
          <t>Summe Aktiva</t>
        </is>
      </c>
      <c r="B10">
        <f>SUM(B5:B9)</f>
        <v/>
      </c>
      <c r="C10">
        <f>SUM(C5:C9)</f>
        <v/>
      </c>
      <c r="D10">
        <f>SUM(D5:D9)</f>
        <v/>
      </c>
      <c r="E10">
        <f>C10-B10</f>
        <v/>
      </c>
      <c r="F10">
        <f>D10-B10</f>
        <v/>
      </c>
    </row>
    <row r="11">
      <c r="A11" t="inlineStr"/>
    </row>
    <row r="12">
      <c r="A12" t="inlineStr">
        <is>
          <t>Eigenkapital</t>
        </is>
      </c>
      <c r="B12" t="n">
        <v>35000</v>
      </c>
      <c r="C12" t="n">
        <v>38200</v>
      </c>
      <c r="D12" t="n">
        <v>37800</v>
      </c>
      <c r="E12">
        <f>C12-B12</f>
        <v/>
      </c>
      <c r="F12">
        <f>D12-B12</f>
        <v/>
      </c>
    </row>
    <row r="13">
      <c r="A13" t="inlineStr">
        <is>
          <t>Rückstellungen</t>
        </is>
      </c>
      <c r="B13" t="n">
        <v>6000</v>
      </c>
      <c r="C13" t="n">
        <v>6500</v>
      </c>
      <c r="D13" t="n">
        <v>6400</v>
      </c>
      <c r="E13">
        <f>C13-B13</f>
        <v/>
      </c>
      <c r="F13">
        <f>D13-B13</f>
        <v/>
      </c>
    </row>
    <row r="14">
      <c r="A14" t="inlineStr">
        <is>
          <t>Verbindl. ggü. KI</t>
        </is>
      </c>
      <c r="B14" t="n">
        <v>18000</v>
      </c>
      <c r="C14" t="n">
        <v>19500</v>
      </c>
      <c r="D14" t="n">
        <v>19200</v>
      </c>
      <c r="E14">
        <f>C14-B14</f>
        <v/>
      </c>
      <c r="F14">
        <f>D14-B14</f>
        <v/>
      </c>
    </row>
    <row r="15">
      <c r="A15" t="inlineStr">
        <is>
          <t>Verbindl. LuL</t>
        </is>
      </c>
      <c r="B15" t="n">
        <v>12000</v>
      </c>
      <c r="C15" t="n">
        <v>13800</v>
      </c>
      <c r="D15" t="n">
        <v>13500</v>
      </c>
      <c r="E15">
        <f>C15-B15</f>
        <v/>
      </c>
      <c r="F15">
        <f>D15-B15</f>
        <v/>
      </c>
    </row>
    <row r="16">
      <c r="A16" t="inlineStr">
        <is>
          <t>Sonstige Verbindl.</t>
        </is>
      </c>
      <c r="B16" t="n">
        <v>5000</v>
      </c>
      <c r="C16" t="n">
        <v>5500</v>
      </c>
      <c r="D16" t="n">
        <v>5100</v>
      </c>
      <c r="E16">
        <f>C16-B16</f>
        <v/>
      </c>
      <c r="F16">
        <f>D16-B16</f>
        <v/>
      </c>
    </row>
    <row r="17">
      <c r="A17" t="inlineStr">
        <is>
          <t>Summe Passiva</t>
        </is>
      </c>
      <c r="B17">
        <f>SUM(B12:B16)</f>
        <v/>
      </c>
      <c r="C17">
        <f>SUM(C12:C16)</f>
        <v/>
      </c>
      <c r="D17">
        <f>SUM(D12:D16)</f>
        <v/>
      </c>
      <c r="E17">
        <f>C17-B17</f>
        <v/>
      </c>
      <c r="F17">
        <f>D17-B17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2026-01-27T15:43:23Z</dcterms:created>
  <dcterms:modified xmlns:dcterms="http://purl.org/dc/terms/" xmlns:xsi="http://www.w3.org/2001/XMLSchema-instance" xsi:type="dcterms:W3CDTF">2026-01-27T15:43:23Z</dcterms:modified>
</cp:coreProperties>
</file>